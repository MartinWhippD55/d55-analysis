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Code\d55-analysis\analysis\BRYT\contract-note\"/>
    </mc:Choice>
  </mc:AlternateContent>
  <xr:revisionPtr revIDLastSave="0" documentId="13_ncr:1_{A655C16C-2CFC-4101-9505-730687F85C42}" xr6:coauthVersionLast="47" xr6:coauthVersionMax="47" xr10:uidLastSave="{00000000-0000-0000-0000-000000000000}"/>
  <bookViews>
    <workbookView xWindow="-103" yWindow="-103" windowWidth="33120" windowHeight="18000" activeTab="1" xr2:uid="{00000000-000D-0000-FFFF-FFFF00000000}"/>
  </bookViews>
  <sheets>
    <sheet name="Summary" sheetId="1" r:id="rId1"/>
    <sheet name="Task Detail" sheetId="2" r:id="rId2"/>
  </sheets>
  <definedNames>
    <definedName name="_xlnm._FilterDatabase" localSheetId="1" hidden="1">'Task Detail'!$A$1:$F$136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C9" i="1"/>
  <c r="E9" i="1" s="1"/>
  <c r="B9" i="1"/>
  <c r="D8" i="1"/>
  <c r="C8" i="1"/>
  <c r="B8" i="1"/>
  <c r="D7" i="1"/>
  <c r="C7" i="1"/>
  <c r="B7" i="1"/>
  <c r="D5" i="1"/>
  <c r="C5" i="1"/>
  <c r="E5" i="1" s="1"/>
  <c r="B5" i="1"/>
  <c r="D4" i="1"/>
  <c r="D10" i="1" s="1"/>
  <c r="C4" i="1"/>
  <c r="C10" i="1" s="1"/>
  <c r="B4" i="1"/>
  <c r="B10" i="1" s="1"/>
  <c r="E7" i="1" l="1"/>
  <c r="E8" i="1"/>
  <c r="E4" i="1"/>
  <c r="E10" i="1" s="1"/>
</calcChain>
</file>

<file path=xl/sharedStrings.xml><?xml version="1.0" encoding="utf-8"?>
<sst xmlns="http://schemas.openxmlformats.org/spreadsheetml/2006/main" count="585" uniqueCount="210">
  <si>
    <t>Estimate</t>
  </si>
  <si>
    <t>Sub-Tasks</t>
  </si>
  <si>
    <t>Required (days)</t>
  </si>
  <si>
    <t>Optional (days)</t>
  </si>
  <si>
    <t>Total (days)</t>
  </si>
  <si>
    <t>Est 1: PDF/Template Management</t>
  </si>
  <si>
    <t>Est 2: DocuSign Integration</t>
  </si>
  <si>
    <t>Est 3a: Training &amp; Enablement</t>
  </si>
  <si>
    <t>Est 3b: Data Source Extensibility</t>
  </si>
  <si>
    <t>Est 4: Bespoke Contracts</t>
  </si>
  <si>
    <t>Est 5: Comparison Audit</t>
  </si>
  <si>
    <t>TOTAL</t>
  </si>
  <si>
    <t>Task ID</t>
  </si>
  <si>
    <t>Task Description</t>
  </si>
  <si>
    <t>Category</t>
  </si>
  <si>
    <t>Days</t>
  </si>
  <si>
    <t>Optional</t>
  </si>
  <si>
    <t>1.1</t>
  </si>
  <si>
    <t>Define CDK infrastructure for DynamoDB table, S3 buckets, and API Gateway routes</t>
  </si>
  <si>
    <t>infrastructure</t>
  </si>
  <si>
    <t>1.2</t>
  </si>
  <si>
    <t>Create shared TypeScript interfaces and types</t>
  </si>
  <si>
    <t>api_backend</t>
  </si>
  <si>
    <t>1.3</t>
  </si>
  <si>
    <t>Implement specification tree validation utility</t>
  </si>
  <si>
    <t>1.4</t>
  </si>
  <si>
    <t>Write property tests for specification tree validation</t>
  </si>
  <si>
    <t>testing</t>
  </si>
  <si>
    <t>Yes</t>
  </si>
  <si>
    <t>2.1</t>
  </si>
  <si>
    <t>Implement `list-templates` handler</t>
  </si>
  <si>
    <t>2.2</t>
  </si>
  <si>
    <t>Implement `create-template` handler</t>
  </si>
  <si>
    <t>2.3</t>
  </si>
  <si>
    <t>Implement `get-template` handler</t>
  </si>
  <si>
    <t>2.4</t>
  </si>
  <si>
    <t>Implement `update-template` handler</t>
  </si>
  <si>
    <t>2.5</t>
  </si>
  <si>
    <t>Implement `delete-template` handler</t>
  </si>
  <si>
    <t>2.6</t>
  </si>
  <si>
    <t>Implement `reorder-templates` handler</t>
  </si>
  <si>
    <t>2.7</t>
  </si>
  <si>
    <t>Write property tests for template API logic</t>
  </si>
  <si>
    <t>3.1</t>
  </si>
  <si>
    <t>Implement `list-sections` handler</t>
  </si>
  <si>
    <t>3.2</t>
  </si>
  <si>
    <t>Implement `add-section` handler</t>
  </si>
  <si>
    <t>3.3</t>
  </si>
  <si>
    <t>Implement `remove-section` handler</t>
  </si>
  <si>
    <t>3.4</t>
  </si>
  <si>
    <t>Implement `reorder-sections` handler</t>
  </si>
  <si>
    <t>3.5</t>
  </si>
  <si>
    <t>Implement `get-section-schema` and `save-section-schema` handlers</t>
  </si>
  <si>
    <t>3.6</t>
  </si>
  <si>
    <t>Implement section version history handlers</t>
  </si>
  <si>
    <t>3.7</t>
  </si>
  <si>
    <t>Implement shared section CRUD handlers</t>
  </si>
  <si>
    <t>3.8</t>
  </si>
  <si>
    <t>Implement template change log</t>
  </si>
  <si>
    <t>3.9</t>
  </si>
  <si>
    <t>Write property tests for section API logic</t>
  </si>
  <si>
    <t>4.1</t>
  </si>
  <si>
    <t>Implement `get-rule` handler</t>
  </si>
  <si>
    <t>4.2</t>
  </si>
  <si>
    <t>Implement `save-rule` handler</t>
  </si>
  <si>
    <t>6.1</t>
  </si>
  <si>
    <t>Implement specification evaluator</t>
  </si>
  <si>
    <t>6.2</t>
  </si>
  <si>
    <t>Write property tests for specification evaluator</t>
  </si>
  <si>
    <t>6.3</t>
  </si>
  <si>
    <t>Implement template selection logic</t>
  </si>
  <si>
    <t>6.4</t>
  </si>
  <si>
    <t>Implement section renderer</t>
  </si>
  <si>
    <t>6.5</t>
  </si>
  <si>
    <t>Write property test for section rendering</t>
  </si>
  <si>
    <t>6.6</t>
  </si>
  <si>
    <t>Implement PDF stitcher</t>
  </si>
  <si>
    <t>6.7</t>
  </si>
  <si>
    <t>Write property test for PDF stitching</t>
  </si>
  <si>
    <t>6.8</t>
  </si>
  <si>
    <t>Implement XML-to-JSON parser and S3 trigger handler</t>
  </si>
  <si>
    <t>6.9</t>
  </si>
  <si>
    <t>Write property tests for pipeline</t>
  </si>
  <si>
    <t>8.1</t>
  </si>
  <si>
    <t>Create ContractNoteModule with routing</t>
  </si>
  <si>
    <t>frontend</t>
  </si>
  <si>
    <t>8.2</t>
  </si>
  <si>
    <t>Implement TemplateService, SectionService, and RulesService</t>
  </si>
  <si>
    <t>9.1</t>
  </si>
  <si>
    <t>Implement TemplateListComponent</t>
  </si>
  <si>
    <t>9.2</t>
  </si>
  <si>
    <t>Implement TemplateEditComponent</t>
  </si>
  <si>
    <t>9.2a</t>
  </si>
  <si>
    <t>Implement SectionVersionHistoryComponent</t>
  </si>
  <si>
    <t>9.3</t>
  </si>
  <si>
    <t>Implement RulesConfigComponent</t>
  </si>
  <si>
    <t>9.4</t>
  </si>
  <si>
    <t>Implement SectionEditorComponent (Web Component wrapper for pdf-me Designer)</t>
  </si>
  <si>
    <t>9.5</t>
  </si>
  <si>
    <t>Implement SharedSectionsComponent and SharedSectionDetailComponent</t>
  </si>
  <si>
    <t>9.6</t>
  </si>
  <si>
    <t>Write unit tests for Angular components</t>
  </si>
  <si>
    <t>11.1</t>
  </si>
  <si>
    <t>Wire CDK deployment for all components</t>
  </si>
  <si>
    <t>11.2</t>
  </si>
  <si>
    <t>Add navigation entry in Admin Portal sidebar for Contract Note Templates</t>
  </si>
  <si>
    <t>integration</t>
  </si>
  <si>
    <t>11.3</t>
  </si>
  <si>
    <t>Write integration tests for full pipeline flow</t>
  </si>
  <si>
    <t>Define CDK infrastructure for DynamoDB table, S3 bucket, API Gateway, and Secrets Manager</t>
  </si>
  <si>
    <t>Implement retry utility with exponential backoff</t>
  </si>
  <si>
    <t>Implement error record writer utility</t>
  </si>
  <si>
    <t>Implement Salesforce OAuth client</t>
  </si>
  <si>
    <t>Implement customer contact lookup</t>
  </si>
  <si>
    <t>Implement signed document upload to Salesforce</t>
  </si>
  <si>
    <t>Write property tests for Salesforce client</t>
  </si>
  <si>
    <t>Implement DocuSign JWT authentication</t>
  </si>
  <si>
    <t>Implement envelope creation</t>
  </si>
  <si>
    <t>Implement signed document download</t>
  </si>
  <si>
    <t>Implement HMAC webhook signature validation</t>
  </si>
  <si>
    <t>Write property tests for DocuSign client</t>
  </si>
  <si>
    <t>Implement DynamoDB metadata operations</t>
  </si>
  <si>
    <t>Write property tests for metadata service</t>
  </si>
  <si>
    <t>5.1</t>
  </si>
  <si>
    <t>Implement S3 event handler and contract metadata extraction</t>
  </si>
  <si>
    <t>5.2</t>
  </si>
  <si>
    <t>Implement send envelope orchestration</t>
  </si>
  <si>
    <t>5.3</t>
  </si>
  <si>
    <t>Write property tests for send envelope flow</t>
  </si>
  <si>
    <t>7.1</t>
  </si>
  <si>
    <t>Implement webhook request handler</t>
  </si>
  <si>
    <t>7.2</t>
  </si>
  <si>
    <t>Implement completion flow</t>
  </si>
  <si>
    <t>7.3</t>
  </si>
  <si>
    <t>Implement declined/expired flow</t>
  </si>
  <si>
    <t>7.4</t>
  </si>
  <si>
    <t>Write property tests for webhook handler</t>
  </si>
  <si>
    <t>Configure contract metadata sidecar in Estimate 1 render pipeline</t>
  </si>
  <si>
    <t>Modify Project Role trust policy to allow Lambda assumption</t>
  </si>
  <si>
    <t>Configure Athena workgroup and results bucket</t>
  </si>
  <si>
    <t>Add DynamoDB records for template data source attachments</t>
  </si>
  <si>
    <t>Implement Glue catalog client (assumes Project Role)</t>
  </si>
  <si>
    <t>Implement column detail fetcher</t>
  </si>
  <si>
    <t>Write property tests for discovery</t>
  </si>
  <si>
    <t>Implement `list-available` handler</t>
  </si>
  <si>
    <t>Implement `get-columns` handler</t>
  </si>
  <si>
    <t>Implement `attach-data-source` handler</t>
  </si>
  <si>
    <t>Implement `detach-data-source` handler</t>
  </si>
  <si>
    <t>Implement `list-attached` handler</t>
  </si>
  <si>
    <t>Write property tests for data source API</t>
  </si>
  <si>
    <t>Implement Athena query executor</t>
  </si>
  <si>
    <t>Implement enrichment orchestrator</t>
  </si>
  <si>
    <t>4.3</t>
  </si>
  <si>
    <t>Integrate enrichment step into render pipeline</t>
  </si>
  <si>
    <t>4.4</t>
  </si>
  <si>
    <t>Write property tests for enrichment</t>
  </si>
  <si>
    <t>Implement DataSourceService</t>
  </si>
  <si>
    <t>Extend TemplateEditComponent with Data Sources panel</t>
  </si>
  <si>
    <t>Implement data source picker dialog</t>
  </si>
  <si>
    <t>Extend SectionEditorComponent to show data source fields</t>
  </si>
  <si>
    <t>Implement shared section dependency tracking</t>
  </si>
  <si>
    <t>Implement shared section attachment dependency check</t>
  </si>
  <si>
    <t>Display data source dependencies on Shared Section detail screen</t>
  </si>
  <si>
    <t>7.5</t>
  </si>
  <si>
    <t>Write property tests for frontend logic</t>
  </si>
  <si>
    <t>Wire CDK deployment for new components</t>
  </si>
  <si>
    <t>Write integration tests</t>
  </si>
  <si>
    <t>Implement Salesforce bespoke flag check in render pipeline</t>
  </si>
  <si>
    <t>Implement pending bespoke record creation</t>
  </si>
  <si>
    <t>Write property tests for pipeline skip</t>
  </si>
  <si>
    <t>Implement `list-bespoke` handler</t>
  </si>
  <si>
    <t>Implement `create-bespoke` handler</t>
  </si>
  <si>
    <t>Implement `get-bespoke` handler</t>
  </si>
  <si>
    <t>Implement `update-bespoke` and `delete-bespoke` handlers</t>
  </si>
  <si>
    <t>Implement bespoke section management</t>
  </si>
  <si>
    <t>Implement `get-contract-data` handler</t>
  </si>
  <si>
    <t>Write property tests for bespoke API</t>
  </si>
  <si>
    <t>Implement `render-bespoke` handler</t>
  </si>
  <si>
    <t>Implement `list-renders` handler</t>
  </si>
  <si>
    <t>Write property tests for on-demand render</t>
  </si>
  <si>
    <t>Implement `send-docusign` handler</t>
  </si>
  <si>
    <t>Write property tests for DocuSign trigger</t>
  </si>
  <si>
    <t>Create BespokeModule with routing and BespokeService</t>
  </si>
  <si>
    <t>Implement BespokeListComponent</t>
  </si>
  <si>
    <t>Implement BespokeEditComponent</t>
  </si>
  <si>
    <t>Implement ContractDataReferencePanel</t>
  </si>
  <si>
    <t>Implement BespokeRenderHistoryComponent</t>
  </si>
  <si>
    <t>Implement creation flow (template picker dialog)</t>
  </si>
  <si>
    <t>Write unit tests for bespoke components</t>
  </si>
  <si>
    <t>Wire CDK deployment</t>
  </si>
  <si>
    <t>Add navigation entry in Admin Portal sidebar for Bespoke Contract Notes</t>
  </si>
  <si>
    <t>8.3</t>
  </si>
  <si>
    <t>Define CDK infrastructure</t>
  </si>
  <si>
    <t>Configure Athena for results querying</t>
  </si>
  <si>
    <t>Implement `comparison-fetch-original` Lambda</t>
  </si>
  <si>
    <t>Implement Graph API OAuth client</t>
  </si>
  <si>
    <t>Implement mailbox search</t>
  </si>
  <si>
    <t>Implement attachment extraction</t>
  </si>
  <si>
    <t>Implement `comparison-invoke-bedrock` Lambda</t>
  </si>
  <si>
    <t>Create initial comparison prompt</t>
  </si>
  <si>
    <t>Implement `comparison-init` Lambda</t>
  </si>
  <si>
    <t>Implement `comparison-store-finding` Lambda</t>
  </si>
  <si>
    <t>Implement `comparison-update-summary` Lambda</t>
  </si>
  <si>
    <t>Iteration cycle 1: Run batch, review Bedrock output quality</t>
  </si>
  <si>
    <t>prompt_iteration</t>
  </si>
  <si>
    <t>Iteration cycle 2: Refine based on BRYT feedback</t>
  </si>
  <si>
    <t>Iteration cycle 3+: Final refinement</t>
  </si>
  <si>
    <t>Create Athena queries for common analysis patterns</t>
  </si>
  <si>
    <t>Produce first spreadsheet report for BRYT</t>
  </si>
  <si>
    <t>BRYT Contract Note - Estimate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</si>
</sst>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1F4E79"/>
        <bgColor rgb="FF1F4E7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3" borderId="2" xfId="0" applyFont="1" applyFill="1" applyBorder="1"/>
    <xf numFmtId="0" fontId="0" fillId="0" borderId="2" xfId="0" applyBorder="1"/>
    <xf numFmtId="0" fontId="3" fillId="0" borderId="2" xfId="0" applyFont="1" applyBorder="1"/>
    <xf numFmtId="0" fontId="0" fillId="7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8" borderId="1" xfId="0" applyFill="1" applyBorder="1"/>
    <xf numFmtId="0" fontId="4" fillId="0" borderId="0" xfId="0" applyFont="1"/>
    <xf numFmtId="0" fontId="0" fillId="0" borderId="0" xfId="0"/>
  </cellXfs>
  <cellStyles count="1">
    <cellStyle name="Normal" xfId="0" builtinId="0"/>
  </cellStyles>
  <dxfs count="11">
    <dxf>
      <font>
        <color theme="6" tint="-0.499984740745262"/>
      </font>
      <fill>
        <patternFill>
          <bgColor theme="6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5" tint="-0.499984740745262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3" tint="-0.499984740745262"/>
      </font>
      <fill>
        <patternFill>
          <bgColor theme="3" tint="0.79998168889431442"/>
        </patternFill>
      </fill>
    </dxf>
    <dxf>
      <font>
        <color theme="6" tint="-0.499984740745262"/>
      </font>
      <fill>
        <patternFill>
          <bgColor theme="6" tint="0.7999816888943144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5" tint="-0.24994659260841701"/>
      </font>
      <fill>
        <patternFill>
          <bgColor theme="9" tint="0.79998168889431442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theme="5" tint="-0.499984740745262"/>
      </font>
      <fill>
        <patternFill>
          <bgColor rgb="FFFFCCFF"/>
        </patternFill>
      </fill>
    </dxf>
  </dxfs>
  <tableStyles count="0" defaultTableStyle="TableStyleMedium9" defaultPivotStyle="PivotStyleLight16"/>
  <colors>
    <mruColors>
      <color rgb="FFD8FD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G5" sqref="G5"/>
    </sheetView>
  </sheetViews>
  <sheetFormatPr defaultRowHeight="14.6" x14ac:dyDescent="0.4"/>
  <cols>
    <col min="1" max="1" width="35" customWidth="1"/>
    <col min="2" max="2" width="12" customWidth="1"/>
    <col min="3" max="4" width="16" customWidth="1"/>
    <col min="5" max="5" width="14" customWidth="1"/>
  </cols>
  <sheetData>
    <row r="1" spans="1:5" ht="18.45" x14ac:dyDescent="0.5">
      <c r="A1" s="11" t="s">
        <v>209</v>
      </c>
      <c r="B1" s="12"/>
      <c r="C1" s="12"/>
      <c r="D1" s="12"/>
      <c r="E1" s="12"/>
    </row>
    <row r="3" spans="1:5" x14ac:dyDescent="0.4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</row>
    <row r="4" spans="1:5" x14ac:dyDescent="0.4">
      <c r="A4" s="4" t="s">
        <v>5</v>
      </c>
      <c r="B4" s="4">
        <f>COUNTIF('Task Detail'!A:A,A4)</f>
        <v>43</v>
      </c>
      <c r="C4" s="4">
        <f>SUMIFS('Task Detail'!E:E,'Task Detail'!A:A,A4,'Task Detail'!F:F,"")</f>
        <v>9</v>
      </c>
      <c r="D4" s="4">
        <f>SUMIFS('Task Detail'!E:E,'Task Detail'!A:A,A4,'Task Detail'!F:F,"Yes")</f>
        <v>4.5</v>
      </c>
      <c r="E4" s="4">
        <f>C4+D4</f>
        <v>13.5</v>
      </c>
    </row>
    <row r="5" spans="1:5" x14ac:dyDescent="0.4">
      <c r="A5" s="4" t="s">
        <v>6</v>
      </c>
      <c r="B5" s="4">
        <f>COUNTIF('Task Detail'!A:A,A5)</f>
        <v>25</v>
      </c>
      <c r="C5" s="4">
        <f>SUMIFS('Task Detail'!E:E,'Task Detail'!A:A,A5,'Task Detail'!F:F,"")</f>
        <v>4.125</v>
      </c>
      <c r="D5" s="4">
        <f>SUMIFS('Task Detail'!E:E,'Task Detail'!A:A,A5,'Task Detail'!F:F,"Yes")</f>
        <v>3</v>
      </c>
      <c r="E5" s="4">
        <f>C5+D5</f>
        <v>7.125</v>
      </c>
    </row>
    <row r="6" spans="1:5" x14ac:dyDescent="0.4">
      <c r="A6" s="4" t="s">
        <v>7</v>
      </c>
      <c r="B6" s="4">
        <v>7</v>
      </c>
      <c r="C6" s="4">
        <v>4</v>
      </c>
      <c r="D6" s="4">
        <v>0</v>
      </c>
      <c r="E6" s="4">
        <v>4</v>
      </c>
    </row>
    <row r="7" spans="1:5" x14ac:dyDescent="0.4">
      <c r="A7" s="4" t="s">
        <v>8</v>
      </c>
      <c r="B7" s="4">
        <f>COUNTIF('Task Detail'!A:A,A7)</f>
        <v>26</v>
      </c>
      <c r="C7" s="4">
        <f>SUMIFS('Task Detail'!E:E,'Task Detail'!A:A,A7,'Task Detail'!F:F,"")</f>
        <v>6.375</v>
      </c>
      <c r="D7" s="4">
        <f>SUMIFS('Task Detail'!E:E,'Task Detail'!A:A,A7,'Task Detail'!F:F,"Yes")</f>
        <v>2.5</v>
      </c>
      <c r="E7" s="4">
        <f>C7+D7</f>
        <v>8.875</v>
      </c>
    </row>
    <row r="8" spans="1:5" x14ac:dyDescent="0.4">
      <c r="A8" s="4" t="s">
        <v>9</v>
      </c>
      <c r="B8" s="4">
        <f>COUNTIF('Task Detail'!A:A,A8)</f>
        <v>25</v>
      </c>
      <c r="C8" s="4">
        <f>SUMIFS('Task Detail'!E:E,'Task Detail'!A:A,A8,'Task Detail'!F:F,"")</f>
        <v>4.75</v>
      </c>
      <c r="D8" s="4">
        <f>SUMIFS('Task Detail'!E:E,'Task Detail'!A:A,A8,'Task Detail'!F:F,"Yes")</f>
        <v>3</v>
      </c>
      <c r="E8" s="4">
        <f>C8+D8</f>
        <v>7.75</v>
      </c>
    </row>
    <row r="9" spans="1:5" x14ac:dyDescent="0.4">
      <c r="A9" s="4" t="s">
        <v>10</v>
      </c>
      <c r="B9" s="4">
        <f>COUNTIF('Task Detail'!A:A,A9)</f>
        <v>16</v>
      </c>
      <c r="C9" s="4">
        <f>SUMIFS('Task Detail'!E:E,'Task Detail'!A:A,A9,'Task Detail'!F:F,"")</f>
        <v>12.375</v>
      </c>
      <c r="D9" s="4">
        <f>SUMIFS('Task Detail'!E:E,'Task Detail'!A:A,A9,'Task Detail'!F:F,"Yes")</f>
        <v>0</v>
      </c>
      <c r="E9" s="4">
        <f>C9+D9</f>
        <v>12.375</v>
      </c>
    </row>
    <row r="10" spans="1:5" x14ac:dyDescent="0.4">
      <c r="A10" s="5" t="s">
        <v>11</v>
      </c>
      <c r="B10" s="5">
        <f>SUM(B4:B9)</f>
        <v>142</v>
      </c>
      <c r="C10" s="5">
        <f>SUM(C4:C9)</f>
        <v>40.625</v>
      </c>
      <c r="D10" s="5">
        <f>SUM(D4:D9)</f>
        <v>13</v>
      </c>
      <c r="E10" s="5">
        <f>SUM(E4:E9)</f>
        <v>53.625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6"/>
  <sheetViews>
    <sheetView tabSelected="1" workbookViewId="0">
      <selection activeCell="J109" sqref="J109"/>
    </sheetView>
  </sheetViews>
  <sheetFormatPr defaultRowHeight="14.6" x14ac:dyDescent="0.4"/>
  <cols>
    <col min="1" max="1" width="30" customWidth="1"/>
    <col min="2" max="2" width="9" bestFit="1" customWidth="1"/>
    <col min="3" max="3" width="78.4609375" bestFit="1" customWidth="1"/>
    <col min="4" max="4" width="15" customWidth="1"/>
    <col min="5" max="5" width="8" customWidth="1"/>
    <col min="6" max="6" width="10" customWidth="1"/>
  </cols>
  <sheetData>
    <row r="1" spans="1:6" x14ac:dyDescent="0.4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4">
      <c r="A2" s="6" t="s">
        <v>5</v>
      </c>
      <c r="B2" s="6" t="s">
        <v>17</v>
      </c>
      <c r="C2" s="6" t="s">
        <v>18</v>
      </c>
      <c r="D2" s="2" t="s">
        <v>19</v>
      </c>
      <c r="E2" s="2">
        <v>1</v>
      </c>
      <c r="F2" s="2"/>
    </row>
    <row r="3" spans="1:6" x14ac:dyDescent="0.4">
      <c r="A3" s="6" t="s">
        <v>5</v>
      </c>
      <c r="B3" s="6" t="s">
        <v>20</v>
      </c>
      <c r="C3" s="6" t="s">
        <v>21</v>
      </c>
      <c r="D3" s="2" t="s">
        <v>22</v>
      </c>
      <c r="E3" s="2">
        <v>0.125</v>
      </c>
      <c r="F3" s="2"/>
    </row>
    <row r="4" spans="1:6" x14ac:dyDescent="0.4">
      <c r="A4" s="6" t="s">
        <v>5</v>
      </c>
      <c r="B4" s="6" t="s">
        <v>23</v>
      </c>
      <c r="C4" s="6" t="s">
        <v>24</v>
      </c>
      <c r="D4" s="2" t="s">
        <v>22</v>
      </c>
      <c r="E4" s="2">
        <v>0.125</v>
      </c>
      <c r="F4" s="2"/>
    </row>
    <row r="5" spans="1:6" x14ac:dyDescent="0.4">
      <c r="A5" s="6" t="s">
        <v>5</v>
      </c>
      <c r="B5" s="6" t="s">
        <v>25</v>
      </c>
      <c r="C5" s="6" t="s">
        <v>26</v>
      </c>
      <c r="D5" s="2" t="s">
        <v>27</v>
      </c>
      <c r="E5" s="2">
        <v>0.5</v>
      </c>
      <c r="F5" s="2" t="s">
        <v>28</v>
      </c>
    </row>
    <row r="6" spans="1:6" x14ac:dyDescent="0.4">
      <c r="A6" s="6" t="s">
        <v>5</v>
      </c>
      <c r="B6" s="6" t="s">
        <v>29</v>
      </c>
      <c r="C6" s="6" t="s">
        <v>30</v>
      </c>
      <c r="D6" s="2" t="s">
        <v>22</v>
      </c>
      <c r="E6" s="2">
        <v>0.125</v>
      </c>
      <c r="F6" s="2"/>
    </row>
    <row r="7" spans="1:6" x14ac:dyDescent="0.4">
      <c r="A7" s="6" t="s">
        <v>5</v>
      </c>
      <c r="B7" s="6" t="s">
        <v>31</v>
      </c>
      <c r="C7" s="6" t="s">
        <v>32</v>
      </c>
      <c r="D7" s="2" t="s">
        <v>22</v>
      </c>
      <c r="E7" s="2">
        <v>0.125</v>
      </c>
      <c r="F7" s="2"/>
    </row>
    <row r="8" spans="1:6" x14ac:dyDescent="0.4">
      <c r="A8" s="6" t="s">
        <v>5</v>
      </c>
      <c r="B8" s="6" t="s">
        <v>33</v>
      </c>
      <c r="C8" s="6" t="s">
        <v>34</v>
      </c>
      <c r="D8" s="2" t="s">
        <v>22</v>
      </c>
      <c r="E8" s="2">
        <v>0.125</v>
      </c>
      <c r="F8" s="2"/>
    </row>
    <row r="9" spans="1:6" x14ac:dyDescent="0.4">
      <c r="A9" s="6" t="s">
        <v>5</v>
      </c>
      <c r="B9" s="6" t="s">
        <v>35</v>
      </c>
      <c r="C9" s="6" t="s">
        <v>36</v>
      </c>
      <c r="D9" s="2" t="s">
        <v>22</v>
      </c>
      <c r="E9" s="2">
        <v>0.125</v>
      </c>
      <c r="F9" s="2"/>
    </row>
    <row r="10" spans="1:6" x14ac:dyDescent="0.4">
      <c r="A10" s="6" t="s">
        <v>5</v>
      </c>
      <c r="B10" s="6" t="s">
        <v>37</v>
      </c>
      <c r="C10" s="6" t="s">
        <v>38</v>
      </c>
      <c r="D10" s="2" t="s">
        <v>22</v>
      </c>
      <c r="E10" s="2">
        <v>0.125</v>
      </c>
      <c r="F10" s="2"/>
    </row>
    <row r="11" spans="1:6" x14ac:dyDescent="0.4">
      <c r="A11" s="6" t="s">
        <v>5</v>
      </c>
      <c r="B11" s="6" t="s">
        <v>39</v>
      </c>
      <c r="C11" s="6" t="s">
        <v>40</v>
      </c>
      <c r="D11" s="2" t="s">
        <v>22</v>
      </c>
      <c r="E11" s="2">
        <v>0.125</v>
      </c>
      <c r="F11" s="2"/>
    </row>
    <row r="12" spans="1:6" x14ac:dyDescent="0.4">
      <c r="A12" s="6" t="s">
        <v>5</v>
      </c>
      <c r="B12" s="6" t="s">
        <v>41</v>
      </c>
      <c r="C12" s="6" t="s">
        <v>42</v>
      </c>
      <c r="D12" s="2" t="s">
        <v>27</v>
      </c>
      <c r="E12" s="2">
        <v>0.5</v>
      </c>
      <c r="F12" s="2" t="s">
        <v>28</v>
      </c>
    </row>
    <row r="13" spans="1:6" x14ac:dyDescent="0.4">
      <c r="A13" s="6" t="s">
        <v>5</v>
      </c>
      <c r="B13" s="6" t="s">
        <v>43</v>
      </c>
      <c r="C13" s="6" t="s">
        <v>44</v>
      </c>
      <c r="D13" s="2" t="s">
        <v>22</v>
      </c>
      <c r="E13" s="2">
        <v>0.125</v>
      </c>
      <c r="F13" s="2"/>
    </row>
    <row r="14" spans="1:6" x14ac:dyDescent="0.4">
      <c r="A14" s="6" t="s">
        <v>5</v>
      </c>
      <c r="B14" s="6" t="s">
        <v>45</v>
      </c>
      <c r="C14" s="6" t="s">
        <v>46</v>
      </c>
      <c r="D14" s="2" t="s">
        <v>22</v>
      </c>
      <c r="E14" s="2">
        <v>0.125</v>
      </c>
      <c r="F14" s="2"/>
    </row>
    <row r="15" spans="1:6" x14ac:dyDescent="0.4">
      <c r="A15" s="6" t="s">
        <v>5</v>
      </c>
      <c r="B15" s="6" t="s">
        <v>47</v>
      </c>
      <c r="C15" s="6" t="s">
        <v>48</v>
      </c>
      <c r="D15" s="2" t="s">
        <v>22</v>
      </c>
      <c r="E15" s="2">
        <v>0.125</v>
      </c>
      <c r="F15" s="2"/>
    </row>
    <row r="16" spans="1:6" x14ac:dyDescent="0.4">
      <c r="A16" s="6" t="s">
        <v>5</v>
      </c>
      <c r="B16" s="6" t="s">
        <v>49</v>
      </c>
      <c r="C16" s="6" t="s">
        <v>50</v>
      </c>
      <c r="D16" s="2" t="s">
        <v>22</v>
      </c>
      <c r="E16" s="2">
        <v>0.125</v>
      </c>
      <c r="F16" s="2"/>
    </row>
    <row r="17" spans="1:6" x14ac:dyDescent="0.4">
      <c r="A17" s="6" t="s">
        <v>5</v>
      </c>
      <c r="B17" s="6" t="s">
        <v>51</v>
      </c>
      <c r="C17" s="6" t="s">
        <v>52</v>
      </c>
      <c r="D17" s="2" t="s">
        <v>22</v>
      </c>
      <c r="E17" s="2">
        <v>0.125</v>
      </c>
      <c r="F17" s="2"/>
    </row>
    <row r="18" spans="1:6" x14ac:dyDescent="0.4">
      <c r="A18" s="6" t="s">
        <v>5</v>
      </c>
      <c r="B18" s="6" t="s">
        <v>53</v>
      </c>
      <c r="C18" s="6" t="s">
        <v>54</v>
      </c>
      <c r="D18" s="2" t="s">
        <v>22</v>
      </c>
      <c r="E18" s="2">
        <v>0.125</v>
      </c>
      <c r="F18" s="2"/>
    </row>
    <row r="19" spans="1:6" x14ac:dyDescent="0.4">
      <c r="A19" s="6" t="s">
        <v>5</v>
      </c>
      <c r="B19" s="6" t="s">
        <v>55</v>
      </c>
      <c r="C19" s="6" t="s">
        <v>56</v>
      </c>
      <c r="D19" s="2" t="s">
        <v>22</v>
      </c>
      <c r="E19" s="2">
        <v>0.125</v>
      </c>
      <c r="F19" s="2"/>
    </row>
    <row r="20" spans="1:6" x14ac:dyDescent="0.4">
      <c r="A20" s="6" t="s">
        <v>5</v>
      </c>
      <c r="B20" s="6" t="s">
        <v>57</v>
      </c>
      <c r="C20" s="6" t="s">
        <v>58</v>
      </c>
      <c r="D20" s="2" t="s">
        <v>22</v>
      </c>
      <c r="E20" s="2">
        <v>0.125</v>
      </c>
      <c r="F20" s="2"/>
    </row>
    <row r="21" spans="1:6" x14ac:dyDescent="0.4">
      <c r="A21" s="6" t="s">
        <v>5</v>
      </c>
      <c r="B21" s="6" t="s">
        <v>59</v>
      </c>
      <c r="C21" s="6" t="s">
        <v>60</v>
      </c>
      <c r="D21" s="2" t="s">
        <v>27</v>
      </c>
      <c r="E21" s="2">
        <v>0.5</v>
      </c>
      <c r="F21" s="2" t="s">
        <v>28</v>
      </c>
    </row>
    <row r="22" spans="1:6" x14ac:dyDescent="0.4">
      <c r="A22" s="6" t="s">
        <v>5</v>
      </c>
      <c r="B22" s="6" t="s">
        <v>61</v>
      </c>
      <c r="C22" s="6" t="s">
        <v>62</v>
      </c>
      <c r="D22" s="2" t="s">
        <v>22</v>
      </c>
      <c r="E22" s="2">
        <v>0.125</v>
      </c>
      <c r="F22" s="2"/>
    </row>
    <row r="23" spans="1:6" x14ac:dyDescent="0.4">
      <c r="A23" s="6" t="s">
        <v>5</v>
      </c>
      <c r="B23" s="6" t="s">
        <v>63</v>
      </c>
      <c r="C23" s="6" t="s">
        <v>64</v>
      </c>
      <c r="D23" s="2" t="s">
        <v>22</v>
      </c>
      <c r="E23" s="2">
        <v>0.125</v>
      </c>
      <c r="F23" s="2"/>
    </row>
    <row r="24" spans="1:6" x14ac:dyDescent="0.4">
      <c r="A24" s="6" t="s">
        <v>5</v>
      </c>
      <c r="B24" s="6" t="s">
        <v>65</v>
      </c>
      <c r="C24" s="6" t="s">
        <v>66</v>
      </c>
      <c r="D24" s="2" t="s">
        <v>22</v>
      </c>
      <c r="E24" s="2">
        <v>0.125</v>
      </c>
      <c r="F24" s="2"/>
    </row>
    <row r="25" spans="1:6" x14ac:dyDescent="0.4">
      <c r="A25" s="6" t="s">
        <v>5</v>
      </c>
      <c r="B25" s="6" t="s">
        <v>67</v>
      </c>
      <c r="C25" s="6" t="s">
        <v>68</v>
      </c>
      <c r="D25" s="2" t="s">
        <v>27</v>
      </c>
      <c r="E25" s="2">
        <v>0.5</v>
      </c>
      <c r="F25" s="2" t="s">
        <v>28</v>
      </c>
    </row>
    <row r="26" spans="1:6" x14ac:dyDescent="0.4">
      <c r="A26" s="6" t="s">
        <v>5</v>
      </c>
      <c r="B26" s="6" t="s">
        <v>69</v>
      </c>
      <c r="C26" s="6" t="s">
        <v>70</v>
      </c>
      <c r="D26" s="2" t="s">
        <v>22</v>
      </c>
      <c r="E26" s="2">
        <v>0.125</v>
      </c>
      <c r="F26" s="2"/>
    </row>
    <row r="27" spans="1:6" x14ac:dyDescent="0.4">
      <c r="A27" s="6" t="s">
        <v>5</v>
      </c>
      <c r="B27" s="6" t="s">
        <v>71</v>
      </c>
      <c r="C27" s="6" t="s">
        <v>72</v>
      </c>
      <c r="D27" s="2" t="s">
        <v>22</v>
      </c>
      <c r="E27" s="2">
        <v>0.125</v>
      </c>
      <c r="F27" s="2"/>
    </row>
    <row r="28" spans="1:6" x14ac:dyDescent="0.4">
      <c r="A28" s="6" t="s">
        <v>5</v>
      </c>
      <c r="B28" s="6" t="s">
        <v>73</v>
      </c>
      <c r="C28" s="6" t="s">
        <v>74</v>
      </c>
      <c r="D28" s="2" t="s">
        <v>27</v>
      </c>
      <c r="E28" s="2">
        <v>0.5</v>
      </c>
      <c r="F28" s="2" t="s">
        <v>28</v>
      </c>
    </row>
    <row r="29" spans="1:6" x14ac:dyDescent="0.4">
      <c r="A29" s="6" t="s">
        <v>5</v>
      </c>
      <c r="B29" s="6" t="s">
        <v>75</v>
      </c>
      <c r="C29" s="6" t="s">
        <v>76</v>
      </c>
      <c r="D29" s="2" t="s">
        <v>22</v>
      </c>
      <c r="E29" s="2">
        <v>0.125</v>
      </c>
      <c r="F29" s="2"/>
    </row>
    <row r="30" spans="1:6" x14ac:dyDescent="0.4">
      <c r="A30" s="6" t="s">
        <v>5</v>
      </c>
      <c r="B30" s="6" t="s">
        <v>77</v>
      </c>
      <c r="C30" s="6" t="s">
        <v>78</v>
      </c>
      <c r="D30" s="2" t="s">
        <v>27</v>
      </c>
      <c r="E30" s="2">
        <v>0.5</v>
      </c>
      <c r="F30" s="2" t="s">
        <v>28</v>
      </c>
    </row>
    <row r="31" spans="1:6" x14ac:dyDescent="0.4">
      <c r="A31" s="6" t="s">
        <v>5</v>
      </c>
      <c r="B31" s="6" t="s">
        <v>79</v>
      </c>
      <c r="C31" s="6" t="s">
        <v>80</v>
      </c>
      <c r="D31" s="2" t="s">
        <v>22</v>
      </c>
      <c r="E31" s="2">
        <v>0.125</v>
      </c>
      <c r="F31" s="2"/>
    </row>
    <row r="32" spans="1:6" x14ac:dyDescent="0.4">
      <c r="A32" s="6" t="s">
        <v>5</v>
      </c>
      <c r="B32" s="6" t="s">
        <v>81</v>
      </c>
      <c r="C32" s="6" t="s">
        <v>82</v>
      </c>
      <c r="D32" s="2" t="s">
        <v>27</v>
      </c>
      <c r="E32" s="2">
        <v>0.5</v>
      </c>
      <c r="F32" s="2" t="s">
        <v>28</v>
      </c>
    </row>
    <row r="33" spans="1:6" x14ac:dyDescent="0.4">
      <c r="A33" s="6" t="s">
        <v>5</v>
      </c>
      <c r="B33" s="6" t="s">
        <v>83</v>
      </c>
      <c r="C33" s="6" t="s">
        <v>84</v>
      </c>
      <c r="D33" s="2" t="s">
        <v>85</v>
      </c>
      <c r="E33" s="2">
        <v>0.5</v>
      </c>
      <c r="F33" s="2"/>
    </row>
    <row r="34" spans="1:6" x14ac:dyDescent="0.4">
      <c r="A34" s="6" t="s">
        <v>5</v>
      </c>
      <c r="B34" s="6" t="s">
        <v>86</v>
      </c>
      <c r="C34" s="6" t="s">
        <v>87</v>
      </c>
      <c r="D34" s="2" t="s">
        <v>85</v>
      </c>
      <c r="E34" s="2">
        <v>0.5</v>
      </c>
      <c r="F34" s="2"/>
    </row>
    <row r="35" spans="1:6" x14ac:dyDescent="0.4">
      <c r="A35" s="6" t="s">
        <v>5</v>
      </c>
      <c r="B35" s="6" t="s">
        <v>88</v>
      </c>
      <c r="C35" s="6" t="s">
        <v>89</v>
      </c>
      <c r="D35" s="2" t="s">
        <v>85</v>
      </c>
      <c r="E35" s="2">
        <v>0.5</v>
      </c>
      <c r="F35" s="2"/>
    </row>
    <row r="36" spans="1:6" x14ac:dyDescent="0.4">
      <c r="A36" s="6" t="s">
        <v>5</v>
      </c>
      <c r="B36" s="6" t="s">
        <v>90</v>
      </c>
      <c r="C36" s="6" t="s">
        <v>91</v>
      </c>
      <c r="D36" s="2" t="s">
        <v>85</v>
      </c>
      <c r="E36" s="2">
        <v>0.5</v>
      </c>
      <c r="F36" s="2"/>
    </row>
    <row r="37" spans="1:6" x14ac:dyDescent="0.4">
      <c r="A37" s="6" t="s">
        <v>5</v>
      </c>
      <c r="B37" s="6" t="s">
        <v>92</v>
      </c>
      <c r="C37" s="6" t="s">
        <v>93</v>
      </c>
      <c r="D37" s="2" t="s">
        <v>85</v>
      </c>
      <c r="E37" s="2">
        <v>0.5</v>
      </c>
      <c r="F37" s="2"/>
    </row>
    <row r="38" spans="1:6" x14ac:dyDescent="0.4">
      <c r="A38" s="6" t="s">
        <v>5</v>
      </c>
      <c r="B38" s="6" t="s">
        <v>94</v>
      </c>
      <c r="C38" s="6" t="s">
        <v>95</v>
      </c>
      <c r="D38" s="2" t="s">
        <v>85</v>
      </c>
      <c r="E38" s="2">
        <v>0.5</v>
      </c>
      <c r="F38" s="2"/>
    </row>
    <row r="39" spans="1:6" x14ac:dyDescent="0.4">
      <c r="A39" s="6" t="s">
        <v>5</v>
      </c>
      <c r="B39" s="6" t="s">
        <v>96</v>
      </c>
      <c r="C39" s="6" t="s">
        <v>97</v>
      </c>
      <c r="D39" s="2" t="s">
        <v>85</v>
      </c>
      <c r="E39" s="2">
        <v>0.5</v>
      </c>
      <c r="F39" s="2"/>
    </row>
    <row r="40" spans="1:6" x14ac:dyDescent="0.4">
      <c r="A40" s="6" t="s">
        <v>5</v>
      </c>
      <c r="B40" s="6" t="s">
        <v>98</v>
      </c>
      <c r="C40" s="6" t="s">
        <v>99</v>
      </c>
      <c r="D40" s="2" t="s">
        <v>85</v>
      </c>
      <c r="E40" s="2">
        <v>0.5</v>
      </c>
      <c r="F40" s="2"/>
    </row>
    <row r="41" spans="1:6" x14ac:dyDescent="0.4">
      <c r="A41" s="6" t="s">
        <v>5</v>
      </c>
      <c r="B41" s="6" t="s">
        <v>100</v>
      </c>
      <c r="C41" s="6" t="s">
        <v>101</v>
      </c>
      <c r="D41" s="2" t="s">
        <v>27</v>
      </c>
      <c r="E41" s="2">
        <v>0.5</v>
      </c>
      <c r="F41" s="2" t="s">
        <v>28</v>
      </c>
    </row>
    <row r="42" spans="1:6" x14ac:dyDescent="0.4">
      <c r="A42" s="6" t="s">
        <v>5</v>
      </c>
      <c r="B42" s="6" t="s">
        <v>102</v>
      </c>
      <c r="C42" s="6" t="s">
        <v>103</v>
      </c>
      <c r="D42" s="2" t="s">
        <v>19</v>
      </c>
      <c r="E42" s="2">
        <v>1</v>
      </c>
      <c r="F42" s="2"/>
    </row>
    <row r="43" spans="1:6" x14ac:dyDescent="0.4">
      <c r="A43" s="6" t="s">
        <v>5</v>
      </c>
      <c r="B43" s="6" t="s">
        <v>104</v>
      </c>
      <c r="C43" s="6" t="s">
        <v>105</v>
      </c>
      <c r="D43" s="2" t="s">
        <v>106</v>
      </c>
      <c r="E43" s="2">
        <v>0.125</v>
      </c>
      <c r="F43" s="2"/>
    </row>
    <row r="44" spans="1:6" x14ac:dyDescent="0.4">
      <c r="A44" s="6" t="s">
        <v>5</v>
      </c>
      <c r="B44" s="6" t="s">
        <v>107</v>
      </c>
      <c r="C44" s="6" t="s">
        <v>108</v>
      </c>
      <c r="D44" s="2" t="s">
        <v>27</v>
      </c>
      <c r="E44" s="2">
        <v>0.5</v>
      </c>
      <c r="F44" s="2" t="s">
        <v>28</v>
      </c>
    </row>
    <row r="45" spans="1:6" x14ac:dyDescent="0.4">
      <c r="A45" s="7" t="s">
        <v>6</v>
      </c>
      <c r="B45" s="7" t="s">
        <v>17</v>
      </c>
      <c r="C45" s="7" t="s">
        <v>109</v>
      </c>
      <c r="D45" s="2" t="s">
        <v>19</v>
      </c>
      <c r="E45" s="2">
        <v>1</v>
      </c>
      <c r="F45" s="2"/>
    </row>
    <row r="46" spans="1:6" x14ac:dyDescent="0.4">
      <c r="A46" s="7" t="s">
        <v>6</v>
      </c>
      <c r="B46" s="7" t="s">
        <v>20</v>
      </c>
      <c r="C46" s="7" t="s">
        <v>21</v>
      </c>
      <c r="D46" s="2" t="s">
        <v>22</v>
      </c>
      <c r="E46" s="2">
        <v>0.125</v>
      </c>
      <c r="F46" s="2"/>
    </row>
    <row r="47" spans="1:6" x14ac:dyDescent="0.4">
      <c r="A47" s="7" t="s">
        <v>6</v>
      </c>
      <c r="B47" s="7" t="s">
        <v>23</v>
      </c>
      <c r="C47" s="7" t="s">
        <v>110</v>
      </c>
      <c r="D47" s="2" t="s">
        <v>22</v>
      </c>
      <c r="E47" s="2">
        <v>0.125</v>
      </c>
      <c r="F47" s="2"/>
    </row>
    <row r="48" spans="1:6" x14ac:dyDescent="0.4">
      <c r="A48" s="7" t="s">
        <v>6</v>
      </c>
      <c r="B48" s="7" t="s">
        <v>25</v>
      </c>
      <c r="C48" s="7" t="s">
        <v>111</v>
      </c>
      <c r="D48" s="2" t="s">
        <v>22</v>
      </c>
      <c r="E48" s="2">
        <v>0.125</v>
      </c>
      <c r="F48" s="2"/>
    </row>
    <row r="49" spans="1:6" x14ac:dyDescent="0.4">
      <c r="A49" s="7" t="s">
        <v>6</v>
      </c>
      <c r="B49" s="7" t="s">
        <v>29</v>
      </c>
      <c r="C49" s="7" t="s">
        <v>112</v>
      </c>
      <c r="D49" s="2" t="s">
        <v>22</v>
      </c>
      <c r="E49" s="2">
        <v>0.125</v>
      </c>
      <c r="F49" s="2"/>
    </row>
    <row r="50" spans="1:6" x14ac:dyDescent="0.4">
      <c r="A50" s="7" t="s">
        <v>6</v>
      </c>
      <c r="B50" s="7" t="s">
        <v>31</v>
      </c>
      <c r="C50" s="7" t="s">
        <v>113</v>
      </c>
      <c r="D50" s="2" t="s">
        <v>22</v>
      </c>
      <c r="E50" s="2">
        <v>0.125</v>
      </c>
      <c r="F50" s="2"/>
    </row>
    <row r="51" spans="1:6" x14ac:dyDescent="0.4">
      <c r="A51" s="7" t="s">
        <v>6</v>
      </c>
      <c r="B51" s="7" t="s">
        <v>33</v>
      </c>
      <c r="C51" s="7" t="s">
        <v>114</v>
      </c>
      <c r="D51" s="2" t="s">
        <v>22</v>
      </c>
      <c r="E51" s="2">
        <v>0.125</v>
      </c>
      <c r="F51" s="2"/>
    </row>
    <row r="52" spans="1:6" x14ac:dyDescent="0.4">
      <c r="A52" s="7" t="s">
        <v>6</v>
      </c>
      <c r="B52" s="7" t="s">
        <v>35</v>
      </c>
      <c r="C52" s="7" t="s">
        <v>115</v>
      </c>
      <c r="D52" s="2" t="s">
        <v>27</v>
      </c>
      <c r="E52" s="2">
        <v>0.5</v>
      </c>
      <c r="F52" s="2" t="s">
        <v>28</v>
      </c>
    </row>
    <row r="53" spans="1:6" x14ac:dyDescent="0.4">
      <c r="A53" s="7" t="s">
        <v>6</v>
      </c>
      <c r="B53" s="7" t="s">
        <v>43</v>
      </c>
      <c r="C53" s="7" t="s">
        <v>116</v>
      </c>
      <c r="D53" s="2" t="s">
        <v>22</v>
      </c>
      <c r="E53" s="2">
        <v>0.125</v>
      </c>
      <c r="F53" s="2"/>
    </row>
    <row r="54" spans="1:6" x14ac:dyDescent="0.4">
      <c r="A54" s="7" t="s">
        <v>6</v>
      </c>
      <c r="B54" s="7" t="s">
        <v>45</v>
      </c>
      <c r="C54" s="7" t="s">
        <v>117</v>
      </c>
      <c r="D54" s="2" t="s">
        <v>22</v>
      </c>
      <c r="E54" s="2">
        <v>0.125</v>
      </c>
      <c r="F54" s="2"/>
    </row>
    <row r="55" spans="1:6" x14ac:dyDescent="0.4">
      <c r="A55" s="7" t="s">
        <v>6</v>
      </c>
      <c r="B55" s="7" t="s">
        <v>47</v>
      </c>
      <c r="C55" s="7" t="s">
        <v>118</v>
      </c>
      <c r="D55" s="2" t="s">
        <v>22</v>
      </c>
      <c r="E55" s="2">
        <v>0.125</v>
      </c>
      <c r="F55" s="2"/>
    </row>
    <row r="56" spans="1:6" x14ac:dyDescent="0.4">
      <c r="A56" s="7" t="s">
        <v>6</v>
      </c>
      <c r="B56" s="7" t="s">
        <v>49</v>
      </c>
      <c r="C56" s="7" t="s">
        <v>119</v>
      </c>
      <c r="D56" s="2" t="s">
        <v>22</v>
      </c>
      <c r="E56" s="2">
        <v>0.125</v>
      </c>
      <c r="F56" s="2"/>
    </row>
    <row r="57" spans="1:6" x14ac:dyDescent="0.4">
      <c r="A57" s="7" t="s">
        <v>6</v>
      </c>
      <c r="B57" s="7" t="s">
        <v>51</v>
      </c>
      <c r="C57" s="7" t="s">
        <v>120</v>
      </c>
      <c r="D57" s="2" t="s">
        <v>27</v>
      </c>
      <c r="E57" s="2">
        <v>0.5</v>
      </c>
      <c r="F57" s="2" t="s">
        <v>28</v>
      </c>
    </row>
    <row r="58" spans="1:6" x14ac:dyDescent="0.4">
      <c r="A58" s="7" t="s">
        <v>6</v>
      </c>
      <c r="B58" s="7" t="s">
        <v>61</v>
      </c>
      <c r="C58" s="7" t="s">
        <v>121</v>
      </c>
      <c r="D58" s="2" t="s">
        <v>22</v>
      </c>
      <c r="E58" s="2">
        <v>0.125</v>
      </c>
      <c r="F58" s="2"/>
    </row>
    <row r="59" spans="1:6" x14ac:dyDescent="0.4">
      <c r="A59" s="7" t="s">
        <v>6</v>
      </c>
      <c r="B59" s="7" t="s">
        <v>63</v>
      </c>
      <c r="C59" s="7" t="s">
        <v>122</v>
      </c>
      <c r="D59" s="2" t="s">
        <v>27</v>
      </c>
      <c r="E59" s="2">
        <v>0.5</v>
      </c>
      <c r="F59" s="2" t="s">
        <v>28</v>
      </c>
    </row>
    <row r="60" spans="1:6" x14ac:dyDescent="0.4">
      <c r="A60" s="7" t="s">
        <v>6</v>
      </c>
      <c r="B60" s="7" t="s">
        <v>123</v>
      </c>
      <c r="C60" s="7" t="s">
        <v>124</v>
      </c>
      <c r="D60" s="2" t="s">
        <v>22</v>
      </c>
      <c r="E60" s="2">
        <v>0.125</v>
      </c>
      <c r="F60" s="2"/>
    </row>
    <row r="61" spans="1:6" x14ac:dyDescent="0.4">
      <c r="A61" s="7" t="s">
        <v>6</v>
      </c>
      <c r="B61" s="7" t="s">
        <v>125</v>
      </c>
      <c r="C61" s="7" t="s">
        <v>126</v>
      </c>
      <c r="D61" s="2" t="s">
        <v>22</v>
      </c>
      <c r="E61" s="2">
        <v>0.125</v>
      </c>
      <c r="F61" s="2"/>
    </row>
    <row r="62" spans="1:6" x14ac:dyDescent="0.4">
      <c r="A62" s="7" t="s">
        <v>6</v>
      </c>
      <c r="B62" s="7" t="s">
        <v>127</v>
      </c>
      <c r="C62" s="7" t="s">
        <v>128</v>
      </c>
      <c r="D62" s="2" t="s">
        <v>27</v>
      </c>
      <c r="E62" s="2">
        <v>0.5</v>
      </c>
      <c r="F62" s="2" t="s">
        <v>28</v>
      </c>
    </row>
    <row r="63" spans="1:6" x14ac:dyDescent="0.4">
      <c r="A63" s="7" t="s">
        <v>6</v>
      </c>
      <c r="B63" s="7" t="s">
        <v>129</v>
      </c>
      <c r="C63" s="7" t="s">
        <v>130</v>
      </c>
      <c r="D63" s="2" t="s">
        <v>22</v>
      </c>
      <c r="E63" s="2">
        <v>0.125</v>
      </c>
      <c r="F63" s="2"/>
    </row>
    <row r="64" spans="1:6" x14ac:dyDescent="0.4">
      <c r="A64" s="7" t="s">
        <v>6</v>
      </c>
      <c r="B64" s="7" t="s">
        <v>131</v>
      </c>
      <c r="C64" s="7" t="s">
        <v>132</v>
      </c>
      <c r="D64" s="2" t="s">
        <v>22</v>
      </c>
      <c r="E64" s="2">
        <v>0.125</v>
      </c>
      <c r="F64" s="2"/>
    </row>
    <row r="65" spans="1:6" x14ac:dyDescent="0.4">
      <c r="A65" s="7" t="s">
        <v>6</v>
      </c>
      <c r="B65" s="7" t="s">
        <v>133</v>
      </c>
      <c r="C65" s="7" t="s">
        <v>134</v>
      </c>
      <c r="D65" s="2" t="s">
        <v>22</v>
      </c>
      <c r="E65" s="2">
        <v>0.125</v>
      </c>
      <c r="F65" s="2"/>
    </row>
    <row r="66" spans="1:6" x14ac:dyDescent="0.4">
      <c r="A66" s="7" t="s">
        <v>6</v>
      </c>
      <c r="B66" s="7" t="s">
        <v>135</v>
      </c>
      <c r="C66" s="7" t="s">
        <v>136</v>
      </c>
      <c r="D66" s="2" t="s">
        <v>27</v>
      </c>
      <c r="E66" s="2">
        <v>0.5</v>
      </c>
      <c r="F66" s="2" t="s">
        <v>28</v>
      </c>
    </row>
    <row r="67" spans="1:6" x14ac:dyDescent="0.4">
      <c r="A67" s="7" t="s">
        <v>6</v>
      </c>
      <c r="B67" s="7" t="s">
        <v>88</v>
      </c>
      <c r="C67" s="7" t="s">
        <v>103</v>
      </c>
      <c r="D67" s="2" t="s">
        <v>19</v>
      </c>
      <c r="E67" s="2">
        <v>1</v>
      </c>
      <c r="F67" s="2"/>
    </row>
    <row r="68" spans="1:6" x14ac:dyDescent="0.4">
      <c r="A68" s="7" t="s">
        <v>6</v>
      </c>
      <c r="B68" s="7" t="s">
        <v>90</v>
      </c>
      <c r="C68" s="7" t="s">
        <v>137</v>
      </c>
      <c r="D68" s="2" t="s">
        <v>22</v>
      </c>
      <c r="E68" s="2">
        <v>0.125</v>
      </c>
      <c r="F68" s="2"/>
    </row>
    <row r="69" spans="1:6" x14ac:dyDescent="0.4">
      <c r="A69" s="7" t="s">
        <v>6</v>
      </c>
      <c r="B69" s="7" t="s">
        <v>94</v>
      </c>
      <c r="C69" s="7" t="s">
        <v>108</v>
      </c>
      <c r="D69" s="2" t="s">
        <v>27</v>
      </c>
      <c r="E69" s="2">
        <v>0.5</v>
      </c>
      <c r="F69" s="2" t="s">
        <v>28</v>
      </c>
    </row>
    <row r="70" spans="1:6" x14ac:dyDescent="0.4">
      <c r="A70" s="8" t="s">
        <v>8</v>
      </c>
      <c r="B70" s="8" t="s">
        <v>17</v>
      </c>
      <c r="C70" s="8" t="s">
        <v>138</v>
      </c>
      <c r="D70" s="2" t="s">
        <v>19</v>
      </c>
      <c r="E70" s="2">
        <v>1</v>
      </c>
      <c r="F70" s="2"/>
    </row>
    <row r="71" spans="1:6" x14ac:dyDescent="0.4">
      <c r="A71" s="8" t="s">
        <v>8</v>
      </c>
      <c r="B71" s="8" t="s">
        <v>20</v>
      </c>
      <c r="C71" s="8" t="s">
        <v>139</v>
      </c>
      <c r="D71" s="2" t="s">
        <v>19</v>
      </c>
      <c r="E71" s="2">
        <v>1</v>
      </c>
      <c r="F71" s="2"/>
    </row>
    <row r="72" spans="1:6" x14ac:dyDescent="0.4">
      <c r="A72" s="8" t="s">
        <v>8</v>
      </c>
      <c r="B72" s="8" t="s">
        <v>23</v>
      </c>
      <c r="C72" s="8" t="s">
        <v>140</v>
      </c>
      <c r="D72" s="2" t="s">
        <v>22</v>
      </c>
      <c r="E72" s="2">
        <v>0.125</v>
      </c>
      <c r="F72" s="2"/>
    </row>
    <row r="73" spans="1:6" x14ac:dyDescent="0.4">
      <c r="A73" s="8" t="s">
        <v>8</v>
      </c>
      <c r="B73" s="8" t="s">
        <v>29</v>
      </c>
      <c r="C73" s="8" t="s">
        <v>141</v>
      </c>
      <c r="D73" s="2" t="s">
        <v>22</v>
      </c>
      <c r="E73" s="2">
        <v>0.125</v>
      </c>
      <c r="F73" s="2"/>
    </row>
    <row r="74" spans="1:6" x14ac:dyDescent="0.4">
      <c r="A74" s="8" t="s">
        <v>8</v>
      </c>
      <c r="B74" s="8" t="s">
        <v>31</v>
      </c>
      <c r="C74" s="8" t="s">
        <v>142</v>
      </c>
      <c r="D74" s="2" t="s">
        <v>22</v>
      </c>
      <c r="E74" s="2">
        <v>0.125</v>
      </c>
      <c r="F74" s="2"/>
    </row>
    <row r="75" spans="1:6" x14ac:dyDescent="0.4">
      <c r="A75" s="8" t="s">
        <v>8</v>
      </c>
      <c r="B75" s="8" t="s">
        <v>33</v>
      </c>
      <c r="C75" s="8" t="s">
        <v>143</v>
      </c>
      <c r="D75" s="2" t="s">
        <v>27</v>
      </c>
      <c r="E75" s="2">
        <v>0.5</v>
      </c>
      <c r="F75" s="2" t="s">
        <v>28</v>
      </c>
    </row>
    <row r="76" spans="1:6" x14ac:dyDescent="0.4">
      <c r="A76" s="8" t="s">
        <v>8</v>
      </c>
      <c r="B76" s="8" t="s">
        <v>43</v>
      </c>
      <c r="C76" s="8" t="s">
        <v>144</v>
      </c>
      <c r="D76" s="2" t="s">
        <v>22</v>
      </c>
      <c r="E76" s="2">
        <v>0.125</v>
      </c>
      <c r="F76" s="2"/>
    </row>
    <row r="77" spans="1:6" x14ac:dyDescent="0.4">
      <c r="A77" s="8" t="s">
        <v>8</v>
      </c>
      <c r="B77" s="8" t="s">
        <v>45</v>
      </c>
      <c r="C77" s="8" t="s">
        <v>145</v>
      </c>
      <c r="D77" s="2" t="s">
        <v>22</v>
      </c>
      <c r="E77" s="2">
        <v>0.125</v>
      </c>
      <c r="F77" s="2"/>
    </row>
    <row r="78" spans="1:6" x14ac:dyDescent="0.4">
      <c r="A78" s="8" t="s">
        <v>8</v>
      </c>
      <c r="B78" s="8" t="s">
        <v>47</v>
      </c>
      <c r="C78" s="8" t="s">
        <v>146</v>
      </c>
      <c r="D78" s="2" t="s">
        <v>22</v>
      </c>
      <c r="E78" s="2">
        <v>0.125</v>
      </c>
      <c r="F78" s="2"/>
    </row>
    <row r="79" spans="1:6" x14ac:dyDescent="0.4">
      <c r="A79" s="8" t="s">
        <v>8</v>
      </c>
      <c r="B79" s="8" t="s">
        <v>49</v>
      </c>
      <c r="C79" s="8" t="s">
        <v>147</v>
      </c>
      <c r="D79" s="2" t="s">
        <v>22</v>
      </c>
      <c r="E79" s="2">
        <v>0.125</v>
      </c>
      <c r="F79" s="2"/>
    </row>
    <row r="80" spans="1:6" x14ac:dyDescent="0.4">
      <c r="A80" s="8" t="s">
        <v>8</v>
      </c>
      <c r="B80" s="8" t="s">
        <v>51</v>
      </c>
      <c r="C80" s="8" t="s">
        <v>148</v>
      </c>
      <c r="D80" s="2" t="s">
        <v>22</v>
      </c>
      <c r="E80" s="2">
        <v>0.125</v>
      </c>
      <c r="F80" s="2"/>
    </row>
    <row r="81" spans="1:6" x14ac:dyDescent="0.4">
      <c r="A81" s="8" t="s">
        <v>8</v>
      </c>
      <c r="B81" s="8" t="s">
        <v>53</v>
      </c>
      <c r="C81" s="8" t="s">
        <v>149</v>
      </c>
      <c r="D81" s="2" t="s">
        <v>27</v>
      </c>
      <c r="E81" s="2">
        <v>0.5</v>
      </c>
      <c r="F81" s="2" t="s">
        <v>28</v>
      </c>
    </row>
    <row r="82" spans="1:6" x14ac:dyDescent="0.4">
      <c r="A82" s="8" t="s">
        <v>8</v>
      </c>
      <c r="B82" s="8" t="s">
        <v>61</v>
      </c>
      <c r="C82" s="8" t="s">
        <v>150</v>
      </c>
      <c r="D82" s="2" t="s">
        <v>22</v>
      </c>
      <c r="E82" s="2">
        <v>0.125</v>
      </c>
      <c r="F82" s="2"/>
    </row>
    <row r="83" spans="1:6" x14ac:dyDescent="0.4">
      <c r="A83" s="8" t="s">
        <v>8</v>
      </c>
      <c r="B83" s="8" t="s">
        <v>63</v>
      </c>
      <c r="C83" s="8" t="s">
        <v>151</v>
      </c>
      <c r="D83" s="2" t="s">
        <v>22</v>
      </c>
      <c r="E83" s="2">
        <v>0.125</v>
      </c>
      <c r="F83" s="2"/>
    </row>
    <row r="84" spans="1:6" x14ac:dyDescent="0.4">
      <c r="A84" s="8" t="s">
        <v>8</v>
      </c>
      <c r="B84" s="8" t="s">
        <v>152</v>
      </c>
      <c r="C84" s="8" t="s">
        <v>153</v>
      </c>
      <c r="D84" s="2" t="s">
        <v>22</v>
      </c>
      <c r="E84" s="2">
        <v>0.125</v>
      </c>
      <c r="F84" s="2"/>
    </row>
    <row r="85" spans="1:6" x14ac:dyDescent="0.4">
      <c r="A85" s="8" t="s">
        <v>8</v>
      </c>
      <c r="B85" s="8" t="s">
        <v>154</v>
      </c>
      <c r="C85" s="8" t="s">
        <v>155</v>
      </c>
      <c r="D85" s="2" t="s">
        <v>27</v>
      </c>
      <c r="E85" s="2">
        <v>0.5</v>
      </c>
      <c r="F85" s="2" t="s">
        <v>28</v>
      </c>
    </row>
    <row r="86" spans="1:6" x14ac:dyDescent="0.4">
      <c r="A86" s="8" t="s">
        <v>8</v>
      </c>
      <c r="B86" s="8" t="s">
        <v>65</v>
      </c>
      <c r="C86" s="8" t="s">
        <v>156</v>
      </c>
      <c r="D86" s="2" t="s">
        <v>85</v>
      </c>
      <c r="E86" s="2">
        <v>0.5</v>
      </c>
      <c r="F86" s="2"/>
    </row>
    <row r="87" spans="1:6" x14ac:dyDescent="0.4">
      <c r="A87" s="8" t="s">
        <v>8</v>
      </c>
      <c r="B87" s="8" t="s">
        <v>67</v>
      </c>
      <c r="C87" s="8" t="s">
        <v>157</v>
      </c>
      <c r="D87" s="2" t="s">
        <v>85</v>
      </c>
      <c r="E87" s="2">
        <v>0.5</v>
      </c>
      <c r="F87" s="2"/>
    </row>
    <row r="88" spans="1:6" x14ac:dyDescent="0.4">
      <c r="A88" s="8" t="s">
        <v>8</v>
      </c>
      <c r="B88" s="8" t="s">
        <v>69</v>
      </c>
      <c r="C88" s="8" t="s">
        <v>158</v>
      </c>
      <c r="D88" s="2" t="s">
        <v>22</v>
      </c>
      <c r="E88" s="2">
        <v>0.125</v>
      </c>
      <c r="F88" s="2"/>
    </row>
    <row r="89" spans="1:6" x14ac:dyDescent="0.4">
      <c r="A89" s="8" t="s">
        <v>8</v>
      </c>
      <c r="B89" s="8" t="s">
        <v>129</v>
      </c>
      <c r="C89" s="8" t="s">
        <v>159</v>
      </c>
      <c r="D89" s="2" t="s">
        <v>85</v>
      </c>
      <c r="E89" s="2">
        <v>0.5</v>
      </c>
      <c r="F89" s="2"/>
    </row>
    <row r="90" spans="1:6" x14ac:dyDescent="0.4">
      <c r="A90" s="8" t="s">
        <v>8</v>
      </c>
      <c r="B90" s="8" t="s">
        <v>131</v>
      </c>
      <c r="C90" s="8" t="s">
        <v>160</v>
      </c>
      <c r="D90" s="2" t="s">
        <v>22</v>
      </c>
      <c r="E90" s="2">
        <v>0.125</v>
      </c>
      <c r="F90" s="2"/>
    </row>
    <row r="91" spans="1:6" x14ac:dyDescent="0.4">
      <c r="A91" s="8" t="s">
        <v>8</v>
      </c>
      <c r="B91" s="8" t="s">
        <v>133</v>
      </c>
      <c r="C91" s="8" t="s">
        <v>161</v>
      </c>
      <c r="D91" s="2" t="s">
        <v>22</v>
      </c>
      <c r="E91" s="2">
        <v>0.125</v>
      </c>
      <c r="F91" s="2"/>
    </row>
    <row r="92" spans="1:6" x14ac:dyDescent="0.4">
      <c r="A92" s="8" t="s">
        <v>8</v>
      </c>
      <c r="B92" s="8" t="s">
        <v>135</v>
      </c>
      <c r="C92" s="8" t="s">
        <v>162</v>
      </c>
      <c r="D92" s="2" t="s">
        <v>22</v>
      </c>
      <c r="E92" s="2">
        <v>0.125</v>
      </c>
      <c r="F92" s="2"/>
    </row>
    <row r="93" spans="1:6" x14ac:dyDescent="0.4">
      <c r="A93" s="8" t="s">
        <v>8</v>
      </c>
      <c r="B93" s="8" t="s">
        <v>163</v>
      </c>
      <c r="C93" s="8" t="s">
        <v>164</v>
      </c>
      <c r="D93" s="2" t="s">
        <v>27</v>
      </c>
      <c r="E93" s="2">
        <v>0.5</v>
      </c>
      <c r="F93" s="2" t="s">
        <v>28</v>
      </c>
    </row>
    <row r="94" spans="1:6" x14ac:dyDescent="0.4">
      <c r="A94" s="8" t="s">
        <v>8</v>
      </c>
      <c r="B94" s="8" t="s">
        <v>88</v>
      </c>
      <c r="C94" s="8" t="s">
        <v>165</v>
      </c>
      <c r="D94" s="2" t="s">
        <v>19</v>
      </c>
      <c r="E94" s="2">
        <v>1</v>
      </c>
      <c r="F94" s="2"/>
    </row>
    <row r="95" spans="1:6" x14ac:dyDescent="0.4">
      <c r="A95" s="8" t="s">
        <v>8</v>
      </c>
      <c r="B95" s="8" t="s">
        <v>90</v>
      </c>
      <c r="C95" s="8" t="s">
        <v>166</v>
      </c>
      <c r="D95" s="2" t="s">
        <v>27</v>
      </c>
      <c r="E95" s="2">
        <v>0.5</v>
      </c>
      <c r="F95" s="2" t="s">
        <v>28</v>
      </c>
    </row>
    <row r="96" spans="1:6" x14ac:dyDescent="0.4">
      <c r="A96" s="9" t="s">
        <v>9</v>
      </c>
      <c r="B96" s="9" t="s">
        <v>17</v>
      </c>
      <c r="C96" s="9" t="s">
        <v>167</v>
      </c>
      <c r="D96" s="2" t="s">
        <v>22</v>
      </c>
      <c r="E96" s="2">
        <v>0.125</v>
      </c>
      <c r="F96" s="2"/>
    </row>
    <row r="97" spans="1:6" x14ac:dyDescent="0.4">
      <c r="A97" s="9" t="s">
        <v>9</v>
      </c>
      <c r="B97" s="9" t="s">
        <v>20</v>
      </c>
      <c r="C97" s="9" t="s">
        <v>168</v>
      </c>
      <c r="D97" s="2" t="s">
        <v>22</v>
      </c>
      <c r="E97" s="2">
        <v>0.125</v>
      </c>
      <c r="F97" s="2"/>
    </row>
    <row r="98" spans="1:6" x14ac:dyDescent="0.4">
      <c r="A98" s="9" t="s">
        <v>9</v>
      </c>
      <c r="B98" s="9" t="s">
        <v>23</v>
      </c>
      <c r="C98" s="9" t="s">
        <v>169</v>
      </c>
      <c r="D98" s="2" t="s">
        <v>27</v>
      </c>
      <c r="E98" s="2">
        <v>0.5</v>
      </c>
      <c r="F98" s="2" t="s">
        <v>28</v>
      </c>
    </row>
    <row r="99" spans="1:6" x14ac:dyDescent="0.4">
      <c r="A99" s="9" t="s">
        <v>9</v>
      </c>
      <c r="B99" s="9" t="s">
        <v>29</v>
      </c>
      <c r="C99" s="9" t="s">
        <v>170</v>
      </c>
      <c r="D99" s="2" t="s">
        <v>22</v>
      </c>
      <c r="E99" s="2">
        <v>0.125</v>
      </c>
      <c r="F99" s="2"/>
    </row>
    <row r="100" spans="1:6" x14ac:dyDescent="0.4">
      <c r="A100" s="9" t="s">
        <v>9</v>
      </c>
      <c r="B100" s="9" t="s">
        <v>31</v>
      </c>
      <c r="C100" s="9" t="s">
        <v>171</v>
      </c>
      <c r="D100" s="2" t="s">
        <v>22</v>
      </c>
      <c r="E100" s="2">
        <v>0.125</v>
      </c>
      <c r="F100" s="2"/>
    </row>
    <row r="101" spans="1:6" x14ac:dyDescent="0.4">
      <c r="A101" s="9" t="s">
        <v>9</v>
      </c>
      <c r="B101" s="9" t="s">
        <v>33</v>
      </c>
      <c r="C101" s="9" t="s">
        <v>172</v>
      </c>
      <c r="D101" s="2" t="s">
        <v>22</v>
      </c>
      <c r="E101" s="2">
        <v>0.125</v>
      </c>
      <c r="F101" s="2"/>
    </row>
    <row r="102" spans="1:6" x14ac:dyDescent="0.4">
      <c r="A102" s="9" t="s">
        <v>9</v>
      </c>
      <c r="B102" s="9" t="s">
        <v>35</v>
      </c>
      <c r="C102" s="9" t="s">
        <v>173</v>
      </c>
      <c r="D102" s="2" t="s">
        <v>22</v>
      </c>
      <c r="E102" s="2">
        <v>0.125</v>
      </c>
      <c r="F102" s="2"/>
    </row>
    <row r="103" spans="1:6" x14ac:dyDescent="0.4">
      <c r="A103" s="9" t="s">
        <v>9</v>
      </c>
      <c r="B103" s="9" t="s">
        <v>37</v>
      </c>
      <c r="C103" s="9" t="s">
        <v>174</v>
      </c>
      <c r="D103" s="2" t="s">
        <v>22</v>
      </c>
      <c r="E103" s="2">
        <v>0.125</v>
      </c>
      <c r="F103" s="2"/>
    </row>
    <row r="104" spans="1:6" x14ac:dyDescent="0.4">
      <c r="A104" s="9" t="s">
        <v>9</v>
      </c>
      <c r="B104" s="9" t="s">
        <v>39</v>
      </c>
      <c r="C104" s="9" t="s">
        <v>175</v>
      </c>
      <c r="D104" s="2" t="s">
        <v>22</v>
      </c>
      <c r="E104" s="2">
        <v>0.125</v>
      </c>
      <c r="F104" s="2"/>
    </row>
    <row r="105" spans="1:6" x14ac:dyDescent="0.4">
      <c r="A105" s="9" t="s">
        <v>9</v>
      </c>
      <c r="B105" s="9" t="s">
        <v>41</v>
      </c>
      <c r="C105" s="9" t="s">
        <v>176</v>
      </c>
      <c r="D105" s="2" t="s">
        <v>27</v>
      </c>
      <c r="E105" s="2">
        <v>0.5</v>
      </c>
      <c r="F105" s="2" t="s">
        <v>28</v>
      </c>
    </row>
    <row r="106" spans="1:6" x14ac:dyDescent="0.4">
      <c r="A106" s="9" t="s">
        <v>9</v>
      </c>
      <c r="B106" s="9" t="s">
        <v>43</v>
      </c>
      <c r="C106" s="9" t="s">
        <v>177</v>
      </c>
      <c r="D106" s="2" t="s">
        <v>22</v>
      </c>
      <c r="E106" s="2">
        <v>0.125</v>
      </c>
      <c r="F106" s="2"/>
    </row>
    <row r="107" spans="1:6" x14ac:dyDescent="0.4">
      <c r="A107" s="9" t="s">
        <v>9</v>
      </c>
      <c r="B107" s="9" t="s">
        <v>45</v>
      </c>
      <c r="C107" s="9" t="s">
        <v>178</v>
      </c>
      <c r="D107" s="2" t="s">
        <v>22</v>
      </c>
      <c r="E107" s="2">
        <v>0.125</v>
      </c>
      <c r="F107" s="2"/>
    </row>
    <row r="108" spans="1:6" x14ac:dyDescent="0.4">
      <c r="A108" s="9" t="s">
        <v>9</v>
      </c>
      <c r="B108" s="9" t="s">
        <v>47</v>
      </c>
      <c r="C108" s="9" t="s">
        <v>179</v>
      </c>
      <c r="D108" s="2" t="s">
        <v>27</v>
      </c>
      <c r="E108" s="2">
        <v>0.5</v>
      </c>
      <c r="F108" s="2" t="s">
        <v>28</v>
      </c>
    </row>
    <row r="109" spans="1:6" x14ac:dyDescent="0.4">
      <c r="A109" s="9" t="s">
        <v>9</v>
      </c>
      <c r="B109" s="9" t="s">
        <v>123</v>
      </c>
      <c r="C109" s="9" t="s">
        <v>180</v>
      </c>
      <c r="D109" s="2" t="s">
        <v>22</v>
      </c>
      <c r="E109" s="2">
        <v>0.125</v>
      </c>
      <c r="F109" s="2"/>
    </row>
    <row r="110" spans="1:6" x14ac:dyDescent="0.4">
      <c r="A110" s="9" t="s">
        <v>9</v>
      </c>
      <c r="B110" s="9" t="s">
        <v>125</v>
      </c>
      <c r="C110" s="9" t="s">
        <v>181</v>
      </c>
      <c r="D110" s="2" t="s">
        <v>27</v>
      </c>
      <c r="E110" s="2">
        <v>0.5</v>
      </c>
      <c r="F110" s="2" t="s">
        <v>28</v>
      </c>
    </row>
    <row r="111" spans="1:6" x14ac:dyDescent="0.4">
      <c r="A111" s="9" t="s">
        <v>9</v>
      </c>
      <c r="B111" s="9" t="s">
        <v>65</v>
      </c>
      <c r="C111" s="9" t="s">
        <v>182</v>
      </c>
      <c r="D111" s="2" t="s">
        <v>85</v>
      </c>
      <c r="E111" s="2">
        <v>0.5</v>
      </c>
      <c r="F111" s="2"/>
    </row>
    <row r="112" spans="1:6" x14ac:dyDescent="0.4">
      <c r="A112" s="9" t="s">
        <v>9</v>
      </c>
      <c r="B112" s="9" t="s">
        <v>67</v>
      </c>
      <c r="C112" s="9" t="s">
        <v>183</v>
      </c>
      <c r="D112" s="2" t="s">
        <v>85</v>
      </c>
      <c r="E112" s="2">
        <v>0.5</v>
      </c>
      <c r="F112" s="2"/>
    </row>
    <row r="113" spans="1:6" x14ac:dyDescent="0.4">
      <c r="A113" s="9" t="s">
        <v>9</v>
      </c>
      <c r="B113" s="9" t="s">
        <v>69</v>
      </c>
      <c r="C113" s="9" t="s">
        <v>184</v>
      </c>
      <c r="D113" s="2" t="s">
        <v>85</v>
      </c>
      <c r="E113" s="2">
        <v>0.5</v>
      </c>
      <c r="F113" s="2"/>
    </row>
    <row r="114" spans="1:6" x14ac:dyDescent="0.4">
      <c r="A114" s="9" t="s">
        <v>9</v>
      </c>
      <c r="B114" s="9" t="s">
        <v>71</v>
      </c>
      <c r="C114" s="9" t="s">
        <v>185</v>
      </c>
      <c r="D114" s="2" t="s">
        <v>22</v>
      </c>
      <c r="E114" s="2">
        <v>0.125</v>
      </c>
      <c r="F114" s="2"/>
    </row>
    <row r="115" spans="1:6" x14ac:dyDescent="0.4">
      <c r="A115" s="9" t="s">
        <v>9</v>
      </c>
      <c r="B115" s="9" t="s">
        <v>73</v>
      </c>
      <c r="C115" s="9" t="s">
        <v>186</v>
      </c>
      <c r="D115" s="2" t="s">
        <v>85</v>
      </c>
      <c r="E115" s="2">
        <v>0.5</v>
      </c>
      <c r="F115" s="2"/>
    </row>
    <row r="116" spans="1:6" x14ac:dyDescent="0.4">
      <c r="A116" s="9" t="s">
        <v>9</v>
      </c>
      <c r="B116" s="9" t="s">
        <v>75</v>
      </c>
      <c r="C116" s="9" t="s">
        <v>187</v>
      </c>
      <c r="D116" s="2" t="s">
        <v>22</v>
      </c>
      <c r="E116" s="2">
        <v>0.125</v>
      </c>
      <c r="F116" s="2"/>
    </row>
    <row r="117" spans="1:6" x14ac:dyDescent="0.4">
      <c r="A117" s="9" t="s">
        <v>9</v>
      </c>
      <c r="B117" s="9" t="s">
        <v>77</v>
      </c>
      <c r="C117" s="9" t="s">
        <v>188</v>
      </c>
      <c r="D117" s="2" t="s">
        <v>27</v>
      </c>
      <c r="E117" s="2">
        <v>0.5</v>
      </c>
      <c r="F117" s="2" t="s">
        <v>28</v>
      </c>
    </row>
    <row r="118" spans="1:6" x14ac:dyDescent="0.4">
      <c r="A118" s="9" t="s">
        <v>9</v>
      </c>
      <c r="B118" s="9" t="s">
        <v>83</v>
      </c>
      <c r="C118" s="9" t="s">
        <v>189</v>
      </c>
      <c r="D118" s="2" t="s">
        <v>19</v>
      </c>
      <c r="E118" s="2">
        <v>1</v>
      </c>
      <c r="F118" s="2"/>
    </row>
    <row r="119" spans="1:6" x14ac:dyDescent="0.4">
      <c r="A119" s="9" t="s">
        <v>9</v>
      </c>
      <c r="B119" s="9" t="s">
        <v>86</v>
      </c>
      <c r="C119" s="9" t="s">
        <v>190</v>
      </c>
      <c r="D119" s="2" t="s">
        <v>106</v>
      </c>
      <c r="E119" s="2">
        <v>0.125</v>
      </c>
      <c r="F119" s="2"/>
    </row>
    <row r="120" spans="1:6" x14ac:dyDescent="0.4">
      <c r="A120" s="9" t="s">
        <v>9</v>
      </c>
      <c r="B120" s="9" t="s">
        <v>191</v>
      </c>
      <c r="C120" s="9" t="s">
        <v>166</v>
      </c>
      <c r="D120" s="2" t="s">
        <v>27</v>
      </c>
      <c r="E120" s="2">
        <v>0.5</v>
      </c>
      <c r="F120" s="2" t="s">
        <v>28</v>
      </c>
    </row>
    <row r="121" spans="1:6" x14ac:dyDescent="0.4">
      <c r="A121" s="10" t="s">
        <v>10</v>
      </c>
      <c r="B121" s="10" t="s">
        <v>17</v>
      </c>
      <c r="C121" s="10" t="s">
        <v>192</v>
      </c>
      <c r="D121" s="2" t="s">
        <v>19</v>
      </c>
      <c r="E121" s="2">
        <v>1</v>
      </c>
      <c r="F121" s="2"/>
    </row>
    <row r="122" spans="1:6" x14ac:dyDescent="0.4">
      <c r="A122" s="10" t="s">
        <v>10</v>
      </c>
      <c r="B122" s="10" t="s">
        <v>20</v>
      </c>
      <c r="C122" s="10" t="s">
        <v>193</v>
      </c>
      <c r="D122" s="2" t="s">
        <v>19</v>
      </c>
      <c r="E122" s="2">
        <v>1</v>
      </c>
      <c r="F122" s="2"/>
    </row>
    <row r="123" spans="1:6" x14ac:dyDescent="0.4">
      <c r="A123" s="10" t="s">
        <v>10</v>
      </c>
      <c r="B123" s="10" t="s">
        <v>29</v>
      </c>
      <c r="C123" s="10" t="s">
        <v>194</v>
      </c>
      <c r="D123" s="2" t="s">
        <v>22</v>
      </c>
      <c r="E123" s="2">
        <v>0.125</v>
      </c>
      <c r="F123" s="2"/>
    </row>
    <row r="124" spans="1:6" x14ac:dyDescent="0.4">
      <c r="A124" s="10" t="s">
        <v>10</v>
      </c>
      <c r="B124" s="10" t="s">
        <v>43</v>
      </c>
      <c r="C124" s="10" t="s">
        <v>195</v>
      </c>
      <c r="D124" s="2" t="s">
        <v>22</v>
      </c>
      <c r="E124" s="2">
        <v>0.125</v>
      </c>
      <c r="F124" s="2"/>
    </row>
    <row r="125" spans="1:6" x14ac:dyDescent="0.4">
      <c r="A125" s="10" t="s">
        <v>10</v>
      </c>
      <c r="B125" s="10" t="s">
        <v>45</v>
      </c>
      <c r="C125" s="10" t="s">
        <v>196</v>
      </c>
      <c r="D125" s="2" t="s">
        <v>22</v>
      </c>
      <c r="E125" s="2">
        <v>0.125</v>
      </c>
      <c r="F125" s="2"/>
    </row>
    <row r="126" spans="1:6" x14ac:dyDescent="0.4">
      <c r="A126" s="10" t="s">
        <v>10</v>
      </c>
      <c r="B126" s="10" t="s">
        <v>47</v>
      </c>
      <c r="C126" s="10" t="s">
        <v>197</v>
      </c>
      <c r="D126" s="2" t="s">
        <v>22</v>
      </c>
      <c r="E126" s="2">
        <v>0.125</v>
      </c>
      <c r="F126" s="2"/>
    </row>
    <row r="127" spans="1:6" x14ac:dyDescent="0.4">
      <c r="A127" s="10" t="s">
        <v>10</v>
      </c>
      <c r="B127" s="10" t="s">
        <v>61</v>
      </c>
      <c r="C127" s="10" t="s">
        <v>198</v>
      </c>
      <c r="D127" s="2" t="s">
        <v>22</v>
      </c>
      <c r="E127" s="2">
        <v>0.125</v>
      </c>
      <c r="F127" s="2"/>
    </row>
    <row r="128" spans="1:6" x14ac:dyDescent="0.4">
      <c r="A128" s="10" t="s">
        <v>10</v>
      </c>
      <c r="B128" s="10" t="s">
        <v>63</v>
      </c>
      <c r="C128" s="10" t="s">
        <v>199</v>
      </c>
      <c r="D128" s="2" t="s">
        <v>22</v>
      </c>
      <c r="E128" s="2">
        <v>0.125</v>
      </c>
      <c r="F128" s="2"/>
    </row>
    <row r="129" spans="1:6" x14ac:dyDescent="0.4">
      <c r="A129" s="10" t="s">
        <v>10</v>
      </c>
      <c r="B129" s="10" t="s">
        <v>123</v>
      </c>
      <c r="C129" s="10" t="s">
        <v>200</v>
      </c>
      <c r="D129" s="2" t="s">
        <v>22</v>
      </c>
      <c r="E129" s="2">
        <v>0.125</v>
      </c>
      <c r="F129" s="2"/>
    </row>
    <row r="130" spans="1:6" x14ac:dyDescent="0.4">
      <c r="A130" s="10" t="s">
        <v>10</v>
      </c>
      <c r="B130" s="10" t="s">
        <v>125</v>
      </c>
      <c r="C130" s="10" t="s">
        <v>201</v>
      </c>
      <c r="D130" s="2" t="s">
        <v>22</v>
      </c>
      <c r="E130" s="2">
        <v>0.125</v>
      </c>
      <c r="F130" s="2"/>
    </row>
    <row r="131" spans="1:6" x14ac:dyDescent="0.4">
      <c r="A131" s="10" t="s">
        <v>10</v>
      </c>
      <c r="B131" s="10" t="s">
        <v>127</v>
      </c>
      <c r="C131" s="10" t="s">
        <v>202</v>
      </c>
      <c r="D131" s="2" t="s">
        <v>22</v>
      </c>
      <c r="E131" s="2">
        <v>0.125</v>
      </c>
      <c r="F131" s="2"/>
    </row>
    <row r="132" spans="1:6" x14ac:dyDescent="0.4">
      <c r="A132" s="10" t="s">
        <v>10</v>
      </c>
      <c r="B132" s="10" t="s">
        <v>129</v>
      </c>
      <c r="C132" s="10" t="s">
        <v>203</v>
      </c>
      <c r="D132" s="2" t="s">
        <v>204</v>
      </c>
      <c r="E132" s="2">
        <v>3</v>
      </c>
      <c r="F132" s="2"/>
    </row>
    <row r="133" spans="1:6" x14ac:dyDescent="0.4">
      <c r="A133" s="10" t="s">
        <v>10</v>
      </c>
      <c r="B133" s="10" t="s">
        <v>131</v>
      </c>
      <c r="C133" s="10" t="s">
        <v>205</v>
      </c>
      <c r="D133" s="2" t="s">
        <v>204</v>
      </c>
      <c r="E133" s="2">
        <v>3</v>
      </c>
      <c r="F133" s="2"/>
    </row>
    <row r="134" spans="1:6" x14ac:dyDescent="0.4">
      <c r="A134" s="10" t="s">
        <v>10</v>
      </c>
      <c r="B134" s="10" t="s">
        <v>133</v>
      </c>
      <c r="C134" s="10" t="s">
        <v>206</v>
      </c>
      <c r="D134" s="2" t="s">
        <v>204</v>
      </c>
      <c r="E134" s="2">
        <v>3</v>
      </c>
      <c r="F134" s="2"/>
    </row>
    <row r="135" spans="1:6" x14ac:dyDescent="0.4">
      <c r="A135" s="10" t="s">
        <v>10</v>
      </c>
      <c r="B135" s="10" t="s">
        <v>83</v>
      </c>
      <c r="C135" s="10" t="s">
        <v>207</v>
      </c>
      <c r="D135" s="2" t="s">
        <v>22</v>
      </c>
      <c r="E135" s="2">
        <v>0.125</v>
      </c>
      <c r="F135" s="2"/>
    </row>
    <row r="136" spans="1:6" x14ac:dyDescent="0.4">
      <c r="A136" s="10" t="s">
        <v>10</v>
      </c>
      <c r="B136" s="10" t="s">
        <v>86</v>
      </c>
      <c r="C136" s="10" t="s">
        <v>208</v>
      </c>
      <c r="D136" s="2" t="s">
        <v>22</v>
      </c>
      <c r="E136" s="2">
        <v>0.125</v>
      </c>
      <c r="F136" s="2"/>
    </row>
  </sheetData>
  <autoFilter ref="A1:F136" xr:uid="{00000000-0009-0000-0000-000001000000}"/>
  <conditionalFormatting sqref="D2:D136">
    <cfRule type="cellIs" dxfId="10" priority="6" operator="equal">
      <formula>"prompt_iteration"</formula>
    </cfRule>
    <cfRule type="cellIs" dxfId="9" priority="7" operator="equal">
      <formula>"integration"</formula>
    </cfRule>
    <cfRule type="cellIs" dxfId="8" priority="8" operator="equal">
      <formula>"infrastructure"</formula>
    </cfRule>
    <cfRule type="cellIs" dxfId="7" priority="9" operator="equal">
      <formula>"frontend"</formula>
    </cfRule>
    <cfRule type="cellIs" dxfId="6" priority="10" operator="equal">
      <formula>"testing"</formula>
    </cfRule>
    <cfRule type="cellIs" dxfId="5" priority="11" operator="equal">
      <formula>"api_backend"</formula>
    </cfRule>
  </conditionalFormatting>
  <conditionalFormatting sqref="E2:E136">
    <cfRule type="cellIs" dxfId="4" priority="3" operator="lessThanOrEqual">
      <formula>0.125</formula>
    </cfRule>
    <cfRule type="cellIs" dxfId="3" priority="4" operator="lessThanOrEqual">
      <formula>0.5</formula>
    </cfRule>
    <cfRule type="cellIs" dxfId="2" priority="5" operator="greaterThanOrEqual">
      <formula>0.5</formula>
    </cfRule>
  </conditionalFormatting>
  <conditionalFormatting sqref="F2:F136">
    <cfRule type="cellIs" dxfId="1" priority="1" operator="equal">
      <formula>"Yes"</formula>
    </cfRule>
    <cfRule type="cellIs" dxfId="0" priority="2" operator="notEqual">
      <formula>"Yes"</formula>
    </cfRule>
  </conditionalFormatting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Task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Whipp</cp:lastModifiedBy>
  <dcterms:created xsi:type="dcterms:W3CDTF">2026-07-02T18:49:22Z</dcterms:created>
  <dcterms:modified xsi:type="dcterms:W3CDTF">2026-07-02T19:25:42Z</dcterms:modified>
</cp:coreProperties>
</file>