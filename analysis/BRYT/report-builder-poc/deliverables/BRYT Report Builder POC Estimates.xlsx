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d55-analysis\analysis\BRYT\report-builder-poc\deliverables\"/>
    </mc:Choice>
  </mc:AlternateContent>
  <xr:revisionPtr revIDLastSave="0" documentId="13_ncr:1_{D97FC435-F7A6-44A3-A6C3-A63F4719B5B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ummary" sheetId="1" r:id="rId1"/>
    <sheet name="Task Detail" sheetId="2" r:id="rId2"/>
  </sheets>
  <definedNames>
    <definedName name="_xlnm._FilterDatabase" localSheetId="1" hidden="1">'Task Detail'!$A$1:$F$19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B10" i="1" l="1"/>
  <c r="E7" i="1"/>
  <c r="E8" i="1"/>
  <c r="E5" i="1"/>
  <c r="E6" i="1"/>
  <c r="D10" i="1"/>
  <c r="E9" i="1"/>
  <c r="C10" i="1"/>
  <c r="E4" i="1"/>
  <c r="E10" i="1" l="1"/>
</calcChain>
</file>

<file path=xl/sharedStrings.xml><?xml version="1.0" encoding="utf-8"?>
<sst xmlns="http://schemas.openxmlformats.org/spreadsheetml/2006/main" count="91" uniqueCount="62">
  <si>
    <t>BRYT Report Builder POC - Estimate Summary</t>
  </si>
  <si>
    <t>Phase</t>
  </si>
  <si>
    <t>Tasks</t>
  </si>
  <si>
    <t>Required (days)</t>
  </si>
  <si>
    <t>Optional (days)</t>
  </si>
  <si>
    <t>Total (days)</t>
  </si>
  <si>
    <t>Phase 1: Foundations</t>
  </si>
  <si>
    <t>Phase 2: Query generation + validation</t>
  </si>
  <si>
    <t>Phase 3: Backend services</t>
  </si>
  <si>
    <t>Phase 4: Run + preview + download</t>
  </si>
  <si>
    <t>Phase 5: Frontend</t>
  </si>
  <si>
    <t>Phase 6: Demo readiness</t>
  </si>
  <si>
    <t>TOTAL</t>
  </si>
  <si>
    <t>Estimate</t>
  </si>
  <si>
    <t>Task ID</t>
  </si>
  <si>
    <t>Task Description</t>
  </si>
  <si>
    <t>Category</t>
  </si>
  <si>
    <t>Days</t>
  </si>
  <si>
    <t>Optional</t>
  </si>
  <si>
    <t>1</t>
  </si>
  <si>
    <t>Scaffold the POC project</t>
  </si>
  <si>
    <t>scaffold</t>
  </si>
  <si>
    <t>2</t>
  </si>
  <si>
    <t>Define `core` domain types</t>
  </si>
  <si>
    <t>core</t>
  </si>
  <si>
    <t>3</t>
  </si>
  <si>
    <t>Bring in the Join_Manifest + demo allow-list</t>
  </si>
  <si>
    <t>4</t>
  </si>
  <si>
    <t>Implement `validateDesign(design, catalog, manifest)</t>
  </si>
  <si>
    <t>5</t>
  </si>
  <si>
    <t>Implement `Query_Generator` (design + catalog + manifest → SQL)</t>
  </si>
  <si>
    <t>6</t>
  </si>
  <si>
    <t>Implement `Report_Design` serialise/deserialise round-trip</t>
  </si>
  <si>
    <t>7</t>
  </si>
  <si>
    <t>Catalog service (static / cached)</t>
  </si>
  <si>
    <t>backend</t>
  </si>
  <si>
    <t>8</t>
  </si>
  <si>
    <t>Reports CRUD (simple store)</t>
  </si>
  <si>
    <t>9</t>
  </si>
  <si>
    <t>Assistant chat handler — Converse tool-use loop (the star)</t>
  </si>
  <si>
    <t>assistant</t>
  </si>
  <si>
    <t>10</t>
  </si>
  <si>
    <t>Optional `validate_query` dry-run (`EXPLAIN`) polish</t>
  </si>
  <si>
    <t>11</t>
  </si>
  <si>
    <t>Run handler (generate → Athena → CSV, no Step Functions)</t>
  </si>
  <si>
    <t>run</t>
  </si>
  <si>
    <t>12</t>
  </si>
  <si>
    <t>CSV download handler</t>
  </si>
  <si>
    <t>13</t>
  </si>
  <si>
    <t>Preview handler</t>
  </si>
  <si>
    <t>14</t>
  </si>
  <si>
    <t>Flow-canvas library spike</t>
  </si>
  <si>
    <t>frontend</t>
  </si>
  <si>
    <t>15</t>
  </si>
  <si>
    <t>Client `Report_Design` model + graph mapping</t>
  </si>
  <si>
    <t>16</t>
  </si>
  <si>
    <t>Screens</t>
  </si>
  <si>
    <t>17</t>
  </si>
  <si>
    <t>Seed a demo report + demo data</t>
  </si>
  <si>
    <t>demo</t>
  </si>
  <si>
    <t>18</t>
  </si>
  <si>
    <t>End-to-end demo run-through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</si>
</sst>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D7ECFA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0A3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28" sqref="H28"/>
    </sheetView>
  </sheetViews>
  <sheetFormatPr defaultRowHeight="14.6" x14ac:dyDescent="0.4"/>
  <cols>
    <col min="1" max="1" width="42" customWidth="1"/>
    <col min="2" max="2" width="10" customWidth="1"/>
    <col min="3" max="4" width="16" customWidth="1"/>
    <col min="5" max="5" width="14" customWidth="1"/>
  </cols>
  <sheetData>
    <row r="1" spans="1:5" ht="18.45" x14ac:dyDescent="0.5">
      <c r="A1" s="4" t="s">
        <v>0</v>
      </c>
      <c r="B1" s="5"/>
      <c r="C1" s="5"/>
      <c r="D1" s="5"/>
      <c r="E1" s="5"/>
    </row>
    <row r="3" spans="1:5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4">
      <c r="A4" s="2" t="s">
        <v>6</v>
      </c>
      <c r="B4" s="2">
        <f>COUNTIF('Task Detail'!$A:$A,$A4)</f>
        <v>3</v>
      </c>
      <c r="C4" s="2">
        <f>SUMIFS('Task Detail'!$E:$E,'Task Detail'!$A:$A,$A4,'Task Detail'!$F:$F,"")</f>
        <v>0.75</v>
      </c>
      <c r="D4" s="2">
        <f>SUMIFS('Task Detail'!$E:$E,'Task Detail'!$A:$A,$A4,'Task Detail'!$F:$F,"Yes")</f>
        <v>0</v>
      </c>
      <c r="E4" s="2">
        <f t="shared" ref="E4:E9" si="0">C4+D4</f>
        <v>0.75</v>
      </c>
    </row>
    <row r="5" spans="1:5" x14ac:dyDescent="0.4">
      <c r="A5" s="2" t="s">
        <v>7</v>
      </c>
      <c r="B5" s="2">
        <f>COUNTIF('Task Detail'!$A:$A,$A5)</f>
        <v>3</v>
      </c>
      <c r="C5" s="2">
        <f>SUMIFS('Task Detail'!$E:$E,'Task Detail'!$A:$A,$A5,'Task Detail'!$F:$F,"")</f>
        <v>0.75</v>
      </c>
      <c r="D5" s="2">
        <f>SUMIFS('Task Detail'!$E:$E,'Task Detail'!$A:$A,$A5,'Task Detail'!$F:$F,"Yes")</f>
        <v>0</v>
      </c>
      <c r="E5" s="2">
        <f t="shared" si="0"/>
        <v>0.75</v>
      </c>
    </row>
    <row r="6" spans="1:5" x14ac:dyDescent="0.4">
      <c r="A6" s="2" t="s">
        <v>8</v>
      </c>
      <c r="B6" s="2">
        <f>COUNTIF('Task Detail'!$A:$A,$A6)</f>
        <v>4</v>
      </c>
      <c r="C6" s="2">
        <f>SUMIFS('Task Detail'!$E:$E,'Task Detail'!$A:$A,$A6,'Task Detail'!$F:$F,"")</f>
        <v>1.25</v>
      </c>
      <c r="D6" s="2">
        <f>SUMIFS('Task Detail'!$E:$E,'Task Detail'!$A:$A,$A6,'Task Detail'!$F:$F,"Yes")</f>
        <v>0</v>
      </c>
      <c r="E6" s="2">
        <f t="shared" si="0"/>
        <v>1.25</v>
      </c>
    </row>
    <row r="7" spans="1:5" x14ac:dyDescent="0.4">
      <c r="A7" s="2" t="s">
        <v>9</v>
      </c>
      <c r="B7" s="2">
        <f>COUNTIF('Task Detail'!$A:$A,$A7)</f>
        <v>3</v>
      </c>
      <c r="C7" s="2">
        <f>SUMIFS('Task Detail'!$E:$E,'Task Detail'!$A:$A,$A7,'Task Detail'!$F:$F,"")</f>
        <v>0</v>
      </c>
      <c r="D7" s="2">
        <f>SUMIFS('Task Detail'!$E:$E,'Task Detail'!$A:$A,$A7,'Task Detail'!$F:$F,"Yes")</f>
        <v>0</v>
      </c>
      <c r="E7" s="2">
        <f t="shared" si="0"/>
        <v>0</v>
      </c>
    </row>
    <row r="8" spans="1:5" x14ac:dyDescent="0.4">
      <c r="A8" s="2" t="s">
        <v>10</v>
      </c>
      <c r="B8" s="2">
        <f>COUNTIF('Task Detail'!$A:$A,$A8)</f>
        <v>3</v>
      </c>
      <c r="C8" s="2">
        <f>SUMIFS('Task Detail'!$E:$E,'Task Detail'!$A:$A,$A8,'Task Detail'!$F:$F,"")</f>
        <v>3.5</v>
      </c>
      <c r="D8" s="2">
        <f>SUMIFS('Task Detail'!$E:$E,'Task Detail'!$A:$A,$A8,'Task Detail'!$F:$F,"Yes")</f>
        <v>0</v>
      </c>
      <c r="E8" s="2">
        <f t="shared" si="0"/>
        <v>3.5</v>
      </c>
    </row>
    <row r="9" spans="1:5" x14ac:dyDescent="0.4">
      <c r="A9" s="2" t="s">
        <v>11</v>
      </c>
      <c r="B9" s="2">
        <f>COUNTIF('Task Detail'!$A:$A,$A9)</f>
        <v>2</v>
      </c>
      <c r="C9" s="2">
        <f>SUMIFS('Task Detail'!$E:$E,'Task Detail'!$A:$A,$A9,'Task Detail'!$F:$F,"")</f>
        <v>0.5</v>
      </c>
      <c r="D9" s="2">
        <f>SUMIFS('Task Detail'!$E:$E,'Task Detail'!$A:$A,$A9,'Task Detail'!$F:$F,"Yes")</f>
        <v>0</v>
      </c>
      <c r="E9" s="2">
        <f t="shared" si="0"/>
        <v>0.5</v>
      </c>
    </row>
    <row r="10" spans="1:5" x14ac:dyDescent="0.4">
      <c r="A10" s="3" t="s">
        <v>12</v>
      </c>
      <c r="B10" s="3">
        <f>SUM(B4:B9)</f>
        <v>18</v>
      </c>
      <c r="C10" s="3">
        <f>SUM(C4:C9)</f>
        <v>6.75</v>
      </c>
      <c r="D10" s="3">
        <f>SUM(D4:D9)</f>
        <v>0</v>
      </c>
      <c r="E10" s="3">
        <f>SUM(E4:E9)</f>
        <v>6.75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9"/>
  <sheetViews>
    <sheetView workbookViewId="0">
      <selection activeCell="G29" sqref="G29"/>
    </sheetView>
  </sheetViews>
  <sheetFormatPr defaultRowHeight="14.6" x14ac:dyDescent="0.4"/>
  <cols>
    <col min="1" max="1" width="36" customWidth="1"/>
    <col min="2" max="2" width="8" customWidth="1"/>
    <col min="3" max="3" width="62" customWidth="1"/>
    <col min="4" max="4" width="15" customWidth="1"/>
    <col min="5" max="5" width="8" customWidth="1"/>
    <col min="6" max="6" width="10" customWidth="1"/>
  </cols>
  <sheetData>
    <row r="1" spans="1:6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idden="1" x14ac:dyDescent="0.4">
      <c r="A2" s="2" t="s">
        <v>6</v>
      </c>
      <c r="B2" s="2" t="s">
        <v>19</v>
      </c>
      <c r="C2" s="2" t="s">
        <v>20</v>
      </c>
      <c r="D2" s="2" t="s">
        <v>21</v>
      </c>
      <c r="E2" s="2">
        <v>0.5</v>
      </c>
      <c r="F2" s="2"/>
    </row>
    <row r="3" spans="1:6" hidden="1" x14ac:dyDescent="0.4">
      <c r="A3" s="2" t="s">
        <v>6</v>
      </c>
      <c r="B3" s="2" t="s">
        <v>22</v>
      </c>
      <c r="C3" s="2" t="s">
        <v>23</v>
      </c>
      <c r="D3" s="2" t="s">
        <v>24</v>
      </c>
      <c r="E3" s="2">
        <v>0.125</v>
      </c>
      <c r="F3" s="2"/>
    </row>
    <row r="4" spans="1:6" hidden="1" x14ac:dyDescent="0.4">
      <c r="A4" s="2" t="s">
        <v>6</v>
      </c>
      <c r="B4" s="2" t="s">
        <v>25</v>
      </c>
      <c r="C4" s="2" t="s">
        <v>26</v>
      </c>
      <c r="D4" s="2" t="s">
        <v>24</v>
      </c>
      <c r="E4" s="2">
        <v>0.125</v>
      </c>
      <c r="F4" s="2"/>
    </row>
    <row r="5" spans="1:6" hidden="1" x14ac:dyDescent="0.4">
      <c r="A5" s="2" t="s">
        <v>7</v>
      </c>
      <c r="B5" s="2" t="s">
        <v>27</v>
      </c>
      <c r="C5" s="2" t="s">
        <v>28</v>
      </c>
      <c r="D5" s="2" t="s">
        <v>24</v>
      </c>
      <c r="E5" s="2">
        <v>0.25</v>
      </c>
      <c r="F5" s="2"/>
    </row>
    <row r="6" spans="1:6" hidden="1" x14ac:dyDescent="0.4">
      <c r="A6" s="2" t="s">
        <v>7</v>
      </c>
      <c r="B6" s="2" t="s">
        <v>29</v>
      </c>
      <c r="C6" s="2" t="s">
        <v>30</v>
      </c>
      <c r="D6" s="2" t="s">
        <v>24</v>
      </c>
      <c r="E6" s="2">
        <v>0.25</v>
      </c>
      <c r="F6" s="2"/>
    </row>
    <row r="7" spans="1:6" hidden="1" x14ac:dyDescent="0.4">
      <c r="A7" s="2" t="s">
        <v>7</v>
      </c>
      <c r="B7" s="2" t="s">
        <v>31</v>
      </c>
      <c r="C7" s="2" t="s">
        <v>32</v>
      </c>
      <c r="D7" s="2" t="s">
        <v>24</v>
      </c>
      <c r="E7" s="2">
        <v>0.25</v>
      </c>
      <c r="F7" s="2"/>
    </row>
    <row r="8" spans="1:6" hidden="1" x14ac:dyDescent="0.4">
      <c r="A8" s="2" t="s">
        <v>8</v>
      </c>
      <c r="B8" s="2" t="s">
        <v>33</v>
      </c>
      <c r="C8" s="2" t="s">
        <v>34</v>
      </c>
      <c r="D8" s="2" t="s">
        <v>35</v>
      </c>
      <c r="E8" s="2">
        <v>0.25</v>
      </c>
      <c r="F8" s="2"/>
    </row>
    <row r="9" spans="1:6" hidden="1" x14ac:dyDescent="0.4">
      <c r="A9" s="2" t="s">
        <v>8</v>
      </c>
      <c r="B9" s="2" t="s">
        <v>36</v>
      </c>
      <c r="C9" s="2" t="s">
        <v>37</v>
      </c>
      <c r="D9" s="2" t="s">
        <v>35</v>
      </c>
      <c r="E9" s="2">
        <v>0.25</v>
      </c>
      <c r="F9" s="2"/>
    </row>
    <row r="10" spans="1:6" hidden="1" x14ac:dyDescent="0.4">
      <c r="A10" s="2" t="s">
        <v>8</v>
      </c>
      <c r="B10" s="2" t="s">
        <v>38</v>
      </c>
      <c r="C10" s="2" t="s">
        <v>39</v>
      </c>
      <c r="D10" s="2" t="s">
        <v>40</v>
      </c>
      <c r="E10" s="2">
        <v>0.5</v>
      </c>
      <c r="F10" s="2"/>
    </row>
    <row r="11" spans="1:6" hidden="1" x14ac:dyDescent="0.4">
      <c r="A11" s="2" t="s">
        <v>8</v>
      </c>
      <c r="B11" s="2" t="s">
        <v>41</v>
      </c>
      <c r="C11" s="2" t="s">
        <v>42</v>
      </c>
      <c r="D11" s="2" t="s">
        <v>40</v>
      </c>
      <c r="E11" s="2">
        <v>0.25</v>
      </c>
      <c r="F11" s="2"/>
    </row>
    <row r="12" spans="1:6" x14ac:dyDescent="0.4">
      <c r="A12" s="2" t="s">
        <v>9</v>
      </c>
      <c r="B12" s="2" t="s">
        <v>43</v>
      </c>
      <c r="C12" s="2" t="s">
        <v>44</v>
      </c>
      <c r="D12" s="2" t="s">
        <v>45</v>
      </c>
      <c r="E12" s="2">
        <v>0</v>
      </c>
      <c r="F12" s="2"/>
    </row>
    <row r="13" spans="1:6" x14ac:dyDescent="0.4">
      <c r="A13" s="2" t="s">
        <v>9</v>
      </c>
      <c r="B13" s="2" t="s">
        <v>46</v>
      </c>
      <c r="C13" s="2" t="s">
        <v>47</v>
      </c>
      <c r="D13" s="2" t="s">
        <v>45</v>
      </c>
      <c r="E13" s="2">
        <v>0</v>
      </c>
      <c r="F13" s="2"/>
    </row>
    <row r="14" spans="1:6" x14ac:dyDescent="0.4">
      <c r="A14" s="2" t="s">
        <v>9</v>
      </c>
      <c r="B14" s="2" t="s">
        <v>48</v>
      </c>
      <c r="C14" s="2" t="s">
        <v>49</v>
      </c>
      <c r="D14" s="2" t="s">
        <v>45</v>
      </c>
      <c r="E14" s="2">
        <v>0</v>
      </c>
      <c r="F14" s="2"/>
    </row>
    <row r="15" spans="1:6" hidden="1" x14ac:dyDescent="0.4">
      <c r="A15" s="2" t="s">
        <v>10</v>
      </c>
      <c r="B15" s="2" t="s">
        <v>50</v>
      </c>
      <c r="C15" s="2" t="s">
        <v>51</v>
      </c>
      <c r="D15" s="2" t="s">
        <v>52</v>
      </c>
      <c r="E15" s="2">
        <v>1</v>
      </c>
      <c r="F15" s="2"/>
    </row>
    <row r="16" spans="1:6" hidden="1" x14ac:dyDescent="0.4">
      <c r="A16" s="2" t="s">
        <v>10</v>
      </c>
      <c r="B16" s="2" t="s">
        <v>53</v>
      </c>
      <c r="C16" s="2" t="s">
        <v>54</v>
      </c>
      <c r="D16" s="2" t="s">
        <v>52</v>
      </c>
      <c r="E16" s="2">
        <v>0.5</v>
      </c>
      <c r="F16" s="2"/>
    </row>
    <row r="17" spans="1:6" hidden="1" x14ac:dyDescent="0.4">
      <c r="A17" s="2" t="s">
        <v>10</v>
      </c>
      <c r="B17" s="2" t="s">
        <v>55</v>
      </c>
      <c r="C17" s="2" t="s">
        <v>56</v>
      </c>
      <c r="D17" s="2" t="s">
        <v>52</v>
      </c>
      <c r="E17" s="2">
        <v>2</v>
      </c>
      <c r="F17" s="2"/>
    </row>
    <row r="18" spans="1:6" hidden="1" x14ac:dyDescent="0.4">
      <c r="A18" s="2" t="s">
        <v>11</v>
      </c>
      <c r="B18" s="2" t="s">
        <v>57</v>
      </c>
      <c r="C18" s="2" t="s">
        <v>58</v>
      </c>
      <c r="D18" s="2" t="s">
        <v>59</v>
      </c>
      <c r="E18" s="2">
        <v>0.25</v>
      </c>
      <c r="F18" s="2"/>
    </row>
    <row r="19" spans="1:6" hidden="1" x14ac:dyDescent="0.4">
      <c r="A19" s="2" t="s">
        <v>11</v>
      </c>
      <c r="B19" s="2" t="s">
        <v>60</v>
      </c>
      <c r="C19" s="2" t="s">
        <v>61</v>
      </c>
      <c r="D19" s="2" t="s">
        <v>59</v>
      </c>
      <c r="E19" s="2">
        <v>0.25</v>
      </c>
      <c r="F19" s="2"/>
    </row>
  </sheetData>
  <autoFilter ref="A1:F19" xr:uid="{00000000-0001-0000-0100-000000000000}">
    <filterColumn colId="0">
      <filters>
        <filter val="Phase 4: Run + preview + downlo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Whipp</cp:lastModifiedBy>
  <dcterms:created xsi:type="dcterms:W3CDTF">2026-08-28T12:35:07Z</dcterms:created>
  <dcterms:modified xsi:type="dcterms:W3CDTF">2026-08-28T13:05:20Z</dcterms:modified>
</cp:coreProperties>
</file>