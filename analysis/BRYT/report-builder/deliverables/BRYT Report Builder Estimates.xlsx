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\d55-analysis\analysis\BRYT\report-builder\deliverables\"/>
    </mc:Choice>
  </mc:AlternateContent>
  <xr:revisionPtr revIDLastSave="0" documentId="13_ncr:1_{E85246A3-9E4E-4DB9-80E2-E0D42FC7E3F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ummary" sheetId="1" r:id="rId1"/>
    <sheet name="Task Detail" sheetId="2" r:id="rId2"/>
  </sheets>
  <definedNames>
    <definedName name="_xlnm._FilterDatabase" localSheetId="1" hidden="1">'Task Detail'!$A$1:$F$39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E8" i="1" l="1"/>
  <c r="E10" i="1"/>
  <c r="D12" i="1"/>
  <c r="B12" i="1"/>
  <c r="E9" i="1"/>
  <c r="E5" i="1"/>
  <c r="E7" i="1"/>
  <c r="E6" i="1"/>
  <c r="E4" i="1"/>
  <c r="E11" i="1"/>
  <c r="C12" i="1"/>
  <c r="E12" i="1" l="1"/>
</calcChain>
</file>

<file path=xl/sharedStrings.xml><?xml version="1.0" encoding="utf-8"?>
<sst xmlns="http://schemas.openxmlformats.org/spreadsheetml/2006/main" count="179" uniqueCount="106">
  <si>
    <t>BRYT Report Builder - Estimate Summary</t>
  </si>
  <si>
    <t>Phase</t>
  </si>
  <si>
    <t>Tasks</t>
  </si>
  <si>
    <t>Required (days)</t>
  </si>
  <si>
    <t>Optional (days)</t>
  </si>
  <si>
    <t>Total (days)</t>
  </si>
  <si>
    <t>Phase 1: Repo &amp; shared-lib foundations</t>
  </si>
  <si>
    <t>Phase 2: Security spine</t>
  </si>
  <si>
    <t>Phase 3: CDK foundation</t>
  </si>
  <si>
    <t>Phase 4: Catalog + Reports CRUD</t>
  </si>
  <si>
    <t>Phase 5: Assistant (Converse loop) + query generation</t>
  </si>
  <si>
    <t>Phase 6: Run pipeline + preview + download</t>
  </si>
  <si>
    <t>Phase 7: Frontend (Angular Customer Portal extension)</t>
  </si>
  <si>
    <t>Phase 8: Hardening, tests, deploy</t>
  </si>
  <si>
    <t>TOTAL</t>
  </si>
  <si>
    <t>Estimate</t>
  </si>
  <si>
    <t>Task ID</t>
  </si>
  <si>
    <t>Task Description</t>
  </si>
  <si>
    <t>Category</t>
  </si>
  <si>
    <t>Days</t>
  </si>
  <si>
    <t>Optional</t>
  </si>
  <si>
    <t>1</t>
  </si>
  <si>
    <t>Scaffold the `BrytReportBuilder` repo</t>
  </si>
  <si>
    <t>scaffold</t>
  </si>
  <si>
    <t>2</t>
  </si>
  <si>
    <t>Define `shared-lib` domain types</t>
  </si>
  <si>
    <t>api_backend</t>
  </si>
  <si>
    <t>3</t>
  </si>
  <si>
    <t>Promote the Join_Manifest into `shared-lib</t>
  </si>
  <si>
    <t>4</t>
  </si>
  <si>
    <t>Port shared HTTP + identity helpers</t>
  </si>
  <si>
    <t>5</t>
  </si>
  <si>
    <t>Implement `validateDesign(design, catalog, manifest)</t>
  </si>
  <si>
    <t>security_core</t>
  </si>
  <si>
    <t>6</t>
  </si>
  <si>
    <t>Implement identity &amp; `Authorised_Bryt_Numbers` resolution (`shared/identity`)</t>
  </si>
  <si>
    <t>7</t>
  </si>
  <si>
    <t>Implement `Query_Generator` (pure: design + catalog + manifest + bounds + trusted context → SQL)</t>
  </si>
  <si>
    <t>8</t>
  </si>
  <si>
    <t>Implement `Query_Verifier` (independent of the model — pre-exec + result-set)</t>
  </si>
  <si>
    <t>9</t>
  </si>
  <si>
    <t>Implement `Report_Design` serialise/deserialise round-trip</t>
  </si>
  <si>
    <t>10</t>
  </si>
  <si>
    <t>Property tests for the security spine (P1–P5, P7, P8)</t>
  </si>
  <si>
    <t>testing</t>
  </si>
  <si>
    <t>Yes</t>
  </si>
  <si>
    <t>11</t>
  </si>
  <si>
    <t>DynamoDB single table</t>
  </si>
  <si>
    <t>infrastructure</t>
  </si>
  <si>
    <t>12</t>
  </si>
  <si>
    <t>S3 buckets</t>
  </si>
  <si>
    <t>13</t>
  </si>
  <si>
    <t>API Gateway REST API + JWT authorizer</t>
  </si>
  <si>
    <t>14</t>
  </si>
  <si>
    <t>Per-environment execution role (IAM **and** Lake Formation)</t>
  </si>
  <si>
    <t>15</t>
  </si>
  <si>
    <t>Athena workgroup + config</t>
  </si>
  <si>
    <t>16</t>
  </si>
  <si>
    <t>Health/smoke route + confirm a dev-stage deploy</t>
  </si>
  <si>
    <t>integration</t>
  </si>
  <si>
    <t>17</t>
  </si>
  <si>
    <t>Catalog service (fail-closed)</t>
  </si>
  <si>
    <t>18</t>
  </si>
  <si>
    <t>Reports CRUD (all owner-scoped)</t>
  </si>
  <si>
    <t>19</t>
  </si>
  <si>
    <t>Report-design S3 snapshot on save</t>
  </si>
  <si>
    <t>20</t>
  </si>
  <si>
    <t>Assistant chat handler — Converse tool-use loop</t>
  </si>
  <si>
    <t>assistant</t>
  </si>
  <si>
    <t>21</t>
  </si>
  <si>
    <t>Report_Design mutation tools</t>
  </si>
  <si>
    <t>22</t>
  </si>
  <si>
    <t>validate_query` tool (dry-run) + forced tool choice</t>
  </si>
  <si>
    <t>23</t>
  </si>
  <si>
    <t>Conversation persistence (owner + report scoped)</t>
  </si>
  <si>
    <t>24</t>
  </si>
  <si>
    <t>Prompt-injection defence + audit logging</t>
  </si>
  <si>
    <t>25</t>
  </si>
  <si>
    <t>Assistant/injection property + integration tests</t>
  </si>
  <si>
    <t>26</t>
  </si>
  <si>
    <t>Step Functions run pipeline</t>
  </si>
  <si>
    <t>27</t>
  </si>
  <si>
    <t>Run queue / status / list APIs</t>
  </si>
  <si>
    <t>28</t>
  </si>
  <si>
    <t>Cancel API + terminal-state protection</t>
  </si>
  <si>
    <t>29</t>
  </si>
  <si>
    <t>CSV download API</t>
  </si>
  <si>
    <t>30</t>
  </si>
  <si>
    <t>Preview API</t>
  </si>
  <si>
    <t>31</t>
  </si>
  <si>
    <t>Pipeline/run property + integration tests</t>
  </si>
  <si>
    <t>32</t>
  </si>
  <si>
    <t>Flow-canvas library spike</t>
  </si>
  <si>
    <t>frontend</t>
  </si>
  <si>
    <t>33</t>
  </si>
  <si>
    <t>Shared client `Report_Design` model + graph mapping</t>
  </si>
  <si>
    <t>34</t>
  </si>
  <si>
    <t>Screens</t>
  </si>
  <si>
    <t>35</t>
  </si>
  <si>
    <t>Security test suite</t>
  </si>
  <si>
    <t>36</t>
  </si>
  <si>
    <t>Observability</t>
  </si>
  <si>
    <t>37</t>
  </si>
  <si>
    <t>CI/CD pipeline for `BrytReportBuilder</t>
  </si>
  <si>
    <t>38</t>
  </si>
  <si>
    <t>End-to-end walkthrough against a dev stage +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</si>
</sst>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D7ECFA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0A3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3" fillId="0" borderId="1" xfId="0" applyFont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18" sqref="G18"/>
    </sheetView>
  </sheetViews>
  <sheetFormatPr defaultRowHeight="14.6" x14ac:dyDescent="0.4"/>
  <cols>
    <col min="1" max="1" width="42" customWidth="1"/>
    <col min="2" max="2" width="10" customWidth="1"/>
    <col min="3" max="4" width="16" customWidth="1"/>
    <col min="5" max="5" width="14" customWidth="1"/>
  </cols>
  <sheetData>
    <row r="1" spans="1:5" ht="18.45" x14ac:dyDescent="0.5">
      <c r="A1" s="4" t="s">
        <v>0</v>
      </c>
      <c r="B1" s="5"/>
      <c r="C1" s="5"/>
      <c r="D1" s="5"/>
      <c r="E1" s="5"/>
    </row>
    <row r="3" spans="1:5" x14ac:dyDescent="0.4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4">
      <c r="A4" s="2" t="s">
        <v>6</v>
      </c>
      <c r="B4" s="2">
        <f>COUNTIF('Task Detail'!$A:$A,$A4)</f>
        <v>4</v>
      </c>
      <c r="C4" s="2">
        <f>SUMIFS('Task Detail'!$E:$E,'Task Detail'!$A:$A,$A4,'Task Detail'!$F:$F,"")</f>
        <v>1.25</v>
      </c>
      <c r="D4" s="2">
        <f>SUMIFS('Task Detail'!$E:$E,'Task Detail'!$A:$A,$A4,'Task Detail'!$F:$F,"Yes")</f>
        <v>0</v>
      </c>
      <c r="E4" s="2">
        <f t="shared" ref="E4:E11" si="0">C4+D4</f>
        <v>1.25</v>
      </c>
    </row>
    <row r="5" spans="1:5" x14ac:dyDescent="0.4">
      <c r="A5" s="2" t="s">
        <v>7</v>
      </c>
      <c r="B5" s="2">
        <f>COUNTIF('Task Detail'!$A:$A,$A5)</f>
        <v>6</v>
      </c>
      <c r="C5" s="2">
        <f>SUMIFS('Task Detail'!$E:$E,'Task Detail'!$A:$A,$A5,'Task Detail'!$F:$F,"")</f>
        <v>2.25</v>
      </c>
      <c r="D5" s="2">
        <f>SUMIFS('Task Detail'!$E:$E,'Task Detail'!$A:$A,$A5,'Task Detail'!$F:$F,"Yes")</f>
        <v>2</v>
      </c>
      <c r="E5" s="2">
        <f t="shared" si="0"/>
        <v>4.25</v>
      </c>
    </row>
    <row r="6" spans="1:5" x14ac:dyDescent="0.4">
      <c r="A6" s="2" t="s">
        <v>8</v>
      </c>
      <c r="B6" s="2">
        <f>COUNTIF('Task Detail'!$A:$A,$A6)</f>
        <v>6</v>
      </c>
      <c r="C6" s="2">
        <f>SUMIFS('Task Detail'!$E:$E,'Task Detail'!$A:$A,$A6,'Task Detail'!$F:$F,"")</f>
        <v>0.75</v>
      </c>
      <c r="D6" s="2">
        <f>SUMIFS('Task Detail'!$E:$E,'Task Detail'!$A:$A,$A6,'Task Detail'!$F:$F,"Yes")</f>
        <v>0</v>
      </c>
      <c r="E6" s="2">
        <f t="shared" si="0"/>
        <v>0.75</v>
      </c>
    </row>
    <row r="7" spans="1:5" x14ac:dyDescent="0.4">
      <c r="A7" s="2" t="s">
        <v>9</v>
      </c>
      <c r="B7" s="2">
        <f>COUNTIF('Task Detail'!$A:$A,$A7)</f>
        <v>3</v>
      </c>
      <c r="C7" s="2">
        <f>SUMIFS('Task Detail'!$E:$E,'Task Detail'!$A:$A,$A7,'Task Detail'!$F:$F,"")</f>
        <v>0.75</v>
      </c>
      <c r="D7" s="2">
        <f>SUMIFS('Task Detail'!$E:$E,'Task Detail'!$A:$A,$A7,'Task Detail'!$F:$F,"Yes")</f>
        <v>0</v>
      </c>
      <c r="E7" s="2">
        <f t="shared" si="0"/>
        <v>0.75</v>
      </c>
    </row>
    <row r="8" spans="1:5" x14ac:dyDescent="0.4">
      <c r="A8" s="2" t="s">
        <v>10</v>
      </c>
      <c r="B8" s="2">
        <f>COUNTIF('Task Detail'!$A:$A,$A8)</f>
        <v>6</v>
      </c>
      <c r="C8" s="2">
        <f>SUMIFS('Task Detail'!$E:$E,'Task Detail'!$A:$A,$A8,'Task Detail'!$F:$F,"")</f>
        <v>4.75</v>
      </c>
      <c r="D8" s="2">
        <f>SUMIFS('Task Detail'!$E:$E,'Task Detail'!$A:$A,$A8,'Task Detail'!$F:$F,"Yes")</f>
        <v>2</v>
      </c>
      <c r="E8" s="2">
        <f t="shared" si="0"/>
        <v>6.75</v>
      </c>
    </row>
    <row r="9" spans="1:5" x14ac:dyDescent="0.4">
      <c r="A9" s="2" t="s">
        <v>11</v>
      </c>
      <c r="B9" s="2">
        <f>COUNTIF('Task Detail'!$A:$A,$A9)</f>
        <v>6</v>
      </c>
      <c r="C9" s="2">
        <f>SUMIFS('Task Detail'!$E:$E,'Task Detail'!$A:$A,$A9,'Task Detail'!$F:$F,"")</f>
        <v>1.25</v>
      </c>
      <c r="D9" s="2">
        <f>SUMIFS('Task Detail'!$E:$E,'Task Detail'!$A:$A,$A9,'Task Detail'!$F:$F,"Yes")</f>
        <v>2</v>
      </c>
      <c r="E9" s="2">
        <f t="shared" si="0"/>
        <v>3.25</v>
      </c>
    </row>
    <row r="10" spans="1:5" x14ac:dyDescent="0.4">
      <c r="A10" s="2" t="s">
        <v>12</v>
      </c>
      <c r="B10" s="2">
        <f>COUNTIF('Task Detail'!$A:$A,$A10)</f>
        <v>3</v>
      </c>
      <c r="C10" s="2">
        <f>SUMIFS('Task Detail'!$E:$E,'Task Detail'!$A:$A,$A10,'Task Detail'!$F:$F,"")</f>
        <v>3</v>
      </c>
      <c r="D10" s="2">
        <f>SUMIFS('Task Detail'!$E:$E,'Task Detail'!$A:$A,$A10,'Task Detail'!$F:$F,"Yes")</f>
        <v>2</v>
      </c>
      <c r="E10" s="2">
        <f t="shared" si="0"/>
        <v>5</v>
      </c>
    </row>
    <row r="11" spans="1:5" x14ac:dyDescent="0.4">
      <c r="A11" s="2" t="s">
        <v>13</v>
      </c>
      <c r="B11" s="2">
        <f>COUNTIF('Task Detail'!$A:$A,$A11)</f>
        <v>4</v>
      </c>
      <c r="C11" s="2">
        <f>SUMIFS('Task Detail'!$E:$E,'Task Detail'!$A:$A,$A11,'Task Detail'!$F:$F,"")</f>
        <v>2.5</v>
      </c>
      <c r="D11" s="2">
        <f>SUMIFS('Task Detail'!$E:$E,'Task Detail'!$A:$A,$A11,'Task Detail'!$F:$F,"Yes")</f>
        <v>1</v>
      </c>
      <c r="E11" s="2">
        <f t="shared" si="0"/>
        <v>3.5</v>
      </c>
    </row>
    <row r="12" spans="1:5" x14ac:dyDescent="0.4">
      <c r="A12" s="3" t="s">
        <v>14</v>
      </c>
      <c r="B12" s="3">
        <f>SUM(B4:B11)</f>
        <v>38</v>
      </c>
      <c r="C12" s="3">
        <f>SUM(C4:C11)</f>
        <v>16.5</v>
      </c>
      <c r="D12" s="3">
        <f>SUM(D4:D11)</f>
        <v>9</v>
      </c>
      <c r="E12" s="3">
        <f>SUM(E4:E11)</f>
        <v>25.5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workbookViewId="0">
      <selection activeCell="I45" sqref="I45"/>
    </sheetView>
  </sheetViews>
  <sheetFormatPr defaultRowHeight="14.6" x14ac:dyDescent="0.4"/>
  <cols>
    <col min="1" max="1" width="36" customWidth="1"/>
    <col min="2" max="2" width="8" customWidth="1"/>
    <col min="3" max="3" width="62" customWidth="1"/>
    <col min="4" max="4" width="15" customWidth="1"/>
    <col min="5" max="5" width="8" customWidth="1"/>
    <col min="6" max="6" width="10" customWidth="1"/>
  </cols>
  <sheetData>
    <row r="1" spans="1:6" x14ac:dyDescent="0.4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4">
      <c r="A2" s="2" t="s">
        <v>6</v>
      </c>
      <c r="B2" s="2" t="s">
        <v>21</v>
      </c>
      <c r="C2" s="2" t="s">
        <v>22</v>
      </c>
      <c r="D2" s="2" t="s">
        <v>23</v>
      </c>
      <c r="E2" s="2">
        <v>0.5</v>
      </c>
      <c r="F2" s="2"/>
    </row>
    <row r="3" spans="1:6" x14ac:dyDescent="0.4">
      <c r="A3" s="2" t="s">
        <v>6</v>
      </c>
      <c r="B3" s="2" t="s">
        <v>24</v>
      </c>
      <c r="C3" s="2" t="s">
        <v>25</v>
      </c>
      <c r="D3" s="2" t="s">
        <v>26</v>
      </c>
      <c r="E3" s="2">
        <v>0.25</v>
      </c>
      <c r="F3" s="2"/>
    </row>
    <row r="4" spans="1:6" x14ac:dyDescent="0.4">
      <c r="A4" s="2" t="s">
        <v>6</v>
      </c>
      <c r="B4" s="2" t="s">
        <v>27</v>
      </c>
      <c r="C4" s="2" t="s">
        <v>28</v>
      </c>
      <c r="D4" s="2" t="s">
        <v>26</v>
      </c>
      <c r="E4" s="2">
        <v>0.25</v>
      </c>
      <c r="F4" s="2"/>
    </row>
    <row r="5" spans="1:6" x14ac:dyDescent="0.4">
      <c r="A5" s="2" t="s">
        <v>6</v>
      </c>
      <c r="B5" s="2" t="s">
        <v>29</v>
      </c>
      <c r="C5" s="2" t="s">
        <v>30</v>
      </c>
      <c r="D5" s="2" t="s">
        <v>26</v>
      </c>
      <c r="E5" s="2">
        <v>0.25</v>
      </c>
      <c r="F5" s="2"/>
    </row>
    <row r="6" spans="1:6" x14ac:dyDescent="0.4">
      <c r="A6" s="2" t="s">
        <v>7</v>
      </c>
      <c r="B6" s="2" t="s">
        <v>31</v>
      </c>
      <c r="C6" s="2" t="s">
        <v>32</v>
      </c>
      <c r="D6" s="2" t="s">
        <v>33</v>
      </c>
      <c r="E6" s="2">
        <v>0.5</v>
      </c>
      <c r="F6" s="2"/>
    </row>
    <row r="7" spans="1:6" x14ac:dyDescent="0.4">
      <c r="A7" s="2" t="s">
        <v>7</v>
      </c>
      <c r="B7" s="2" t="s">
        <v>34</v>
      </c>
      <c r="C7" s="2" t="s">
        <v>35</v>
      </c>
      <c r="D7" s="2" t="s">
        <v>33</v>
      </c>
      <c r="E7" s="2">
        <v>0.5</v>
      </c>
      <c r="F7" s="2"/>
    </row>
    <row r="8" spans="1:6" x14ac:dyDescent="0.4">
      <c r="A8" s="2" t="s">
        <v>7</v>
      </c>
      <c r="B8" s="2" t="s">
        <v>36</v>
      </c>
      <c r="C8" s="2" t="s">
        <v>37</v>
      </c>
      <c r="D8" s="2" t="s">
        <v>33</v>
      </c>
      <c r="E8" s="2">
        <v>0.5</v>
      </c>
      <c r="F8" s="2"/>
    </row>
    <row r="9" spans="1:6" x14ac:dyDescent="0.4">
      <c r="A9" s="2" t="s">
        <v>7</v>
      </c>
      <c r="B9" s="2" t="s">
        <v>38</v>
      </c>
      <c r="C9" s="2" t="s">
        <v>39</v>
      </c>
      <c r="D9" s="2" t="s">
        <v>33</v>
      </c>
      <c r="E9" s="2">
        <v>0.5</v>
      </c>
      <c r="F9" s="2"/>
    </row>
    <row r="10" spans="1:6" x14ac:dyDescent="0.4">
      <c r="A10" s="2" t="s">
        <v>7</v>
      </c>
      <c r="B10" s="2" t="s">
        <v>40</v>
      </c>
      <c r="C10" s="2" t="s">
        <v>41</v>
      </c>
      <c r="D10" s="2" t="s">
        <v>26</v>
      </c>
      <c r="E10" s="2">
        <v>0.25</v>
      </c>
      <c r="F10" s="2"/>
    </row>
    <row r="11" spans="1:6" x14ac:dyDescent="0.4">
      <c r="A11" s="2" t="s">
        <v>7</v>
      </c>
      <c r="B11" s="2" t="s">
        <v>42</v>
      </c>
      <c r="C11" s="2" t="s">
        <v>43</v>
      </c>
      <c r="D11" s="2" t="s">
        <v>44</v>
      </c>
      <c r="E11" s="2">
        <v>2</v>
      </c>
      <c r="F11" s="2" t="s">
        <v>45</v>
      </c>
    </row>
    <row r="12" spans="1:6" x14ac:dyDescent="0.4">
      <c r="A12" s="2" t="s">
        <v>8</v>
      </c>
      <c r="B12" s="2" t="s">
        <v>46</v>
      </c>
      <c r="C12" s="2" t="s">
        <v>47</v>
      </c>
      <c r="D12" s="2" t="s">
        <v>48</v>
      </c>
      <c r="E12" s="2">
        <v>0.125</v>
      </c>
      <c r="F12" s="2"/>
    </row>
    <row r="13" spans="1:6" x14ac:dyDescent="0.4">
      <c r="A13" s="2" t="s">
        <v>8</v>
      </c>
      <c r="B13" s="2" t="s">
        <v>49</v>
      </c>
      <c r="C13" s="2" t="s">
        <v>50</v>
      </c>
      <c r="D13" s="2" t="s">
        <v>48</v>
      </c>
      <c r="E13" s="2">
        <v>0.125</v>
      </c>
      <c r="F13" s="2"/>
    </row>
    <row r="14" spans="1:6" x14ac:dyDescent="0.4">
      <c r="A14" s="2" t="s">
        <v>8</v>
      </c>
      <c r="B14" s="2" t="s">
        <v>51</v>
      </c>
      <c r="C14" s="2" t="s">
        <v>52</v>
      </c>
      <c r="D14" s="2" t="s">
        <v>48</v>
      </c>
      <c r="E14" s="2">
        <v>0.125</v>
      </c>
      <c r="F14" s="2"/>
    </row>
    <row r="15" spans="1:6" x14ac:dyDescent="0.4">
      <c r="A15" s="2" t="s">
        <v>8</v>
      </c>
      <c r="B15" s="2" t="s">
        <v>53</v>
      </c>
      <c r="C15" s="2" t="s">
        <v>54</v>
      </c>
      <c r="D15" s="2" t="s">
        <v>48</v>
      </c>
      <c r="E15" s="2">
        <v>0.125</v>
      </c>
      <c r="F15" s="2"/>
    </row>
    <row r="16" spans="1:6" x14ac:dyDescent="0.4">
      <c r="A16" s="2" t="s">
        <v>8</v>
      </c>
      <c r="B16" s="2" t="s">
        <v>55</v>
      </c>
      <c r="C16" s="2" t="s">
        <v>56</v>
      </c>
      <c r="D16" s="2" t="s">
        <v>48</v>
      </c>
      <c r="E16" s="2">
        <v>0.125</v>
      </c>
      <c r="F16" s="2"/>
    </row>
    <row r="17" spans="1:6" x14ac:dyDescent="0.4">
      <c r="A17" s="2" t="s">
        <v>8</v>
      </c>
      <c r="B17" s="2" t="s">
        <v>57</v>
      </c>
      <c r="C17" s="2" t="s">
        <v>58</v>
      </c>
      <c r="D17" s="2" t="s">
        <v>59</v>
      </c>
      <c r="E17" s="2">
        <v>0.125</v>
      </c>
      <c r="F17" s="2"/>
    </row>
    <row r="18" spans="1:6" x14ac:dyDescent="0.4">
      <c r="A18" s="2" t="s">
        <v>9</v>
      </c>
      <c r="B18" s="2" t="s">
        <v>60</v>
      </c>
      <c r="C18" s="2" t="s">
        <v>61</v>
      </c>
      <c r="D18" s="2" t="s">
        <v>26</v>
      </c>
      <c r="E18" s="2">
        <v>0.25</v>
      </c>
      <c r="F18" s="2"/>
    </row>
    <row r="19" spans="1:6" x14ac:dyDescent="0.4">
      <c r="A19" s="2" t="s">
        <v>9</v>
      </c>
      <c r="B19" s="2" t="s">
        <v>62</v>
      </c>
      <c r="C19" s="2" t="s">
        <v>63</v>
      </c>
      <c r="D19" s="2" t="s">
        <v>26</v>
      </c>
      <c r="E19" s="2">
        <v>0.25</v>
      </c>
      <c r="F19" s="2"/>
    </row>
    <row r="20" spans="1:6" x14ac:dyDescent="0.4">
      <c r="A20" s="2" t="s">
        <v>9</v>
      </c>
      <c r="B20" s="2" t="s">
        <v>64</v>
      </c>
      <c r="C20" s="2" t="s">
        <v>65</v>
      </c>
      <c r="D20" s="2" t="s">
        <v>26</v>
      </c>
      <c r="E20" s="2">
        <v>0.25</v>
      </c>
      <c r="F20" s="2"/>
    </row>
    <row r="21" spans="1:6" x14ac:dyDescent="0.4">
      <c r="A21" s="2" t="s">
        <v>10</v>
      </c>
      <c r="B21" s="2" t="s">
        <v>66</v>
      </c>
      <c r="C21" s="2" t="s">
        <v>67</v>
      </c>
      <c r="D21" s="2" t="s">
        <v>68</v>
      </c>
      <c r="E21" s="2">
        <v>1</v>
      </c>
      <c r="F21" s="2"/>
    </row>
    <row r="22" spans="1:6" x14ac:dyDescent="0.4">
      <c r="A22" s="2" t="s">
        <v>10</v>
      </c>
      <c r="B22" s="2" t="s">
        <v>69</v>
      </c>
      <c r="C22" s="2" t="s">
        <v>70</v>
      </c>
      <c r="D22" s="2" t="s">
        <v>68</v>
      </c>
      <c r="E22" s="2">
        <v>1</v>
      </c>
      <c r="F22" s="2"/>
    </row>
    <row r="23" spans="1:6" x14ac:dyDescent="0.4">
      <c r="A23" s="2" t="s">
        <v>10</v>
      </c>
      <c r="B23" s="2" t="s">
        <v>71</v>
      </c>
      <c r="C23" s="2" t="s">
        <v>72</v>
      </c>
      <c r="D23" s="2" t="s">
        <v>68</v>
      </c>
      <c r="E23" s="2">
        <v>1</v>
      </c>
      <c r="F23" s="2"/>
    </row>
    <row r="24" spans="1:6" x14ac:dyDescent="0.4">
      <c r="A24" s="2" t="s">
        <v>10</v>
      </c>
      <c r="B24" s="2" t="s">
        <v>73</v>
      </c>
      <c r="C24" s="2" t="s">
        <v>74</v>
      </c>
      <c r="D24" s="2" t="s">
        <v>26</v>
      </c>
      <c r="E24" s="2">
        <v>0.25</v>
      </c>
      <c r="F24" s="2"/>
    </row>
    <row r="25" spans="1:6" x14ac:dyDescent="0.4">
      <c r="A25" s="2" t="s">
        <v>10</v>
      </c>
      <c r="B25" s="2" t="s">
        <v>75</v>
      </c>
      <c r="C25" s="2" t="s">
        <v>76</v>
      </c>
      <c r="D25" s="2" t="s">
        <v>68</v>
      </c>
      <c r="E25" s="2">
        <v>1.5</v>
      </c>
      <c r="F25" s="2"/>
    </row>
    <row r="26" spans="1:6" x14ac:dyDescent="0.4">
      <c r="A26" s="2" t="s">
        <v>10</v>
      </c>
      <c r="B26" s="2" t="s">
        <v>77</v>
      </c>
      <c r="C26" s="2" t="s">
        <v>78</v>
      </c>
      <c r="D26" s="2" t="s">
        <v>44</v>
      </c>
      <c r="E26" s="2">
        <v>2</v>
      </c>
      <c r="F26" s="2" t="s">
        <v>45</v>
      </c>
    </row>
    <row r="27" spans="1:6" x14ac:dyDescent="0.4">
      <c r="A27" s="2" t="s">
        <v>11</v>
      </c>
      <c r="B27" s="2" t="s">
        <v>79</v>
      </c>
      <c r="C27" s="2" t="s">
        <v>80</v>
      </c>
      <c r="D27" s="2" t="s">
        <v>26</v>
      </c>
      <c r="E27" s="2">
        <v>0.25</v>
      </c>
      <c r="F27" s="2"/>
    </row>
    <row r="28" spans="1:6" x14ac:dyDescent="0.4">
      <c r="A28" s="2" t="s">
        <v>11</v>
      </c>
      <c r="B28" s="2" t="s">
        <v>81</v>
      </c>
      <c r="C28" s="2" t="s">
        <v>82</v>
      </c>
      <c r="D28" s="2" t="s">
        <v>26</v>
      </c>
      <c r="E28" s="2">
        <v>0.25</v>
      </c>
      <c r="F28" s="2"/>
    </row>
    <row r="29" spans="1:6" x14ac:dyDescent="0.4">
      <c r="A29" s="2" t="s">
        <v>11</v>
      </c>
      <c r="B29" s="2" t="s">
        <v>83</v>
      </c>
      <c r="C29" s="2" t="s">
        <v>84</v>
      </c>
      <c r="D29" s="2" t="s">
        <v>26</v>
      </c>
      <c r="E29" s="2">
        <v>0.25</v>
      </c>
      <c r="F29" s="2"/>
    </row>
    <row r="30" spans="1:6" x14ac:dyDescent="0.4">
      <c r="A30" s="2" t="s">
        <v>11</v>
      </c>
      <c r="B30" s="2" t="s">
        <v>85</v>
      </c>
      <c r="C30" s="2" t="s">
        <v>86</v>
      </c>
      <c r="D30" s="2" t="s">
        <v>26</v>
      </c>
      <c r="E30" s="2">
        <v>0.25</v>
      </c>
      <c r="F30" s="2"/>
    </row>
    <row r="31" spans="1:6" x14ac:dyDescent="0.4">
      <c r="A31" s="2" t="s">
        <v>11</v>
      </c>
      <c r="B31" s="2" t="s">
        <v>87</v>
      </c>
      <c r="C31" s="2" t="s">
        <v>88</v>
      </c>
      <c r="D31" s="2" t="s">
        <v>26</v>
      </c>
      <c r="E31" s="2">
        <v>0.25</v>
      </c>
      <c r="F31" s="2"/>
    </row>
    <row r="32" spans="1:6" x14ac:dyDescent="0.4">
      <c r="A32" s="2" t="s">
        <v>11</v>
      </c>
      <c r="B32" s="2" t="s">
        <v>89</v>
      </c>
      <c r="C32" s="2" t="s">
        <v>90</v>
      </c>
      <c r="D32" s="2" t="s">
        <v>44</v>
      </c>
      <c r="E32" s="2">
        <v>2</v>
      </c>
      <c r="F32" s="2" t="s">
        <v>45</v>
      </c>
    </row>
    <row r="33" spans="1:6" x14ac:dyDescent="0.4">
      <c r="A33" s="2" t="s">
        <v>12</v>
      </c>
      <c r="B33" s="2" t="s">
        <v>91</v>
      </c>
      <c r="C33" s="2" t="s">
        <v>92</v>
      </c>
      <c r="D33" s="2" t="s">
        <v>93</v>
      </c>
      <c r="E33" s="2">
        <v>2</v>
      </c>
      <c r="F33" s="2" t="s">
        <v>45</v>
      </c>
    </row>
    <row r="34" spans="1:6" x14ac:dyDescent="0.4">
      <c r="A34" s="2" t="s">
        <v>12</v>
      </c>
      <c r="B34" s="2" t="s">
        <v>94</v>
      </c>
      <c r="C34" s="2" t="s">
        <v>95</v>
      </c>
      <c r="D34" s="2" t="s">
        <v>93</v>
      </c>
      <c r="E34" s="2">
        <v>1</v>
      </c>
      <c r="F34" s="2"/>
    </row>
    <row r="35" spans="1:6" x14ac:dyDescent="0.4">
      <c r="A35" s="2" t="s">
        <v>12</v>
      </c>
      <c r="B35" s="2" t="s">
        <v>96</v>
      </c>
      <c r="C35" s="2" t="s">
        <v>97</v>
      </c>
      <c r="D35" s="2" t="s">
        <v>93</v>
      </c>
      <c r="E35" s="2">
        <v>2</v>
      </c>
      <c r="F35" s="2"/>
    </row>
    <row r="36" spans="1:6" x14ac:dyDescent="0.4">
      <c r="A36" s="2" t="s">
        <v>13</v>
      </c>
      <c r="B36" s="2" t="s">
        <v>98</v>
      </c>
      <c r="C36" s="2" t="s">
        <v>99</v>
      </c>
      <c r="D36" s="2" t="s">
        <v>44</v>
      </c>
      <c r="E36" s="2">
        <v>2</v>
      </c>
      <c r="F36" s="2"/>
    </row>
    <row r="37" spans="1:6" x14ac:dyDescent="0.4">
      <c r="A37" s="2" t="s">
        <v>13</v>
      </c>
      <c r="B37" s="2" t="s">
        <v>100</v>
      </c>
      <c r="C37" s="2" t="s">
        <v>101</v>
      </c>
      <c r="D37" s="2" t="s">
        <v>59</v>
      </c>
      <c r="E37" s="2">
        <v>0.5</v>
      </c>
      <c r="F37" s="2" t="s">
        <v>45</v>
      </c>
    </row>
    <row r="38" spans="1:6" x14ac:dyDescent="0.4">
      <c r="A38" s="2" t="s">
        <v>13</v>
      </c>
      <c r="B38" s="2" t="s">
        <v>102</v>
      </c>
      <c r="C38" s="2" t="s">
        <v>103</v>
      </c>
      <c r="D38" s="2" t="s">
        <v>59</v>
      </c>
      <c r="E38" s="2">
        <v>0.5</v>
      </c>
      <c r="F38" s="2" t="s">
        <v>45</v>
      </c>
    </row>
    <row r="39" spans="1:6" x14ac:dyDescent="0.4">
      <c r="A39" s="2" t="s">
        <v>13</v>
      </c>
      <c r="B39" s="2" t="s">
        <v>104</v>
      </c>
      <c r="C39" s="2" t="s">
        <v>105</v>
      </c>
      <c r="D39" s="2" t="s">
        <v>59</v>
      </c>
      <c r="E39" s="2">
        <v>0.5</v>
      </c>
      <c r="F39" s="2"/>
    </row>
  </sheetData>
  <autoFilter ref="A1:F39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Task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Whipp</cp:lastModifiedBy>
  <dcterms:created xsi:type="dcterms:W3CDTF">2026-08-27T15:57:10Z</dcterms:created>
  <dcterms:modified xsi:type="dcterms:W3CDTF">2026-08-27T16:24:29Z</dcterms:modified>
</cp:coreProperties>
</file>